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5" yWindow="6660" windowWidth="21840" windowHeight="6705" tabRatio="600" firstSheet="0" activeTab="0" autoFilterDateGrouping="1"/>
  </bookViews>
  <sheets>
    <sheet name="Sheet1" sheetId="1" state="visible" r:id="rId1"/>
    <sheet name="Sheet2" sheetId="2" state="visible" r:id="rId2"/>
    <sheet name="sheet3" sheetId="3" state="visible" r:id="rId3"/>
    <sheet name="Sheet4" sheetId="4" state="visible" r:id="rId4"/>
  </sheets>
  <definedNames/>
  <calcPr calcId="152511" fullCalcOnLoad="1"/>
</workbook>
</file>

<file path=xl/styles.xml><?xml version="1.0" encoding="utf-8"?>
<styleSheet xmlns="http://schemas.openxmlformats.org/spreadsheetml/2006/main">
  <numFmts count="1">
    <numFmt numFmtId="164" formatCode="#,##0.00000_);\(#,##0.00000\)"/>
  </numFmts>
  <fonts count="19">
    <font>
      <name val="Arial"/>
      <sz val="10"/>
    </font>
    <font>
      <name val="Arial"/>
      <family val="2"/>
      <sz val="8"/>
    </font>
    <font>
      <name val="Arial"/>
      <family val="2"/>
      <b val="1"/>
      <sz val="10"/>
    </font>
    <font>
      <name val="Verdana"/>
      <family val="2"/>
      <color indexed="63"/>
      <sz val="10"/>
    </font>
    <font>
      <name val="Arial"/>
      <family val="2"/>
      <b val="1"/>
      <sz val="12"/>
    </font>
    <font>
      <name val="Arial"/>
      <family val="2"/>
      <sz val="10"/>
    </font>
    <font>
      <name val="Arial"/>
      <family val="2"/>
      <b val="1"/>
      <sz val="11"/>
    </font>
    <font>
      <name val="Arial"/>
      <family val="2"/>
      <color rgb="FFEEECE1"/>
      <sz val="14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4"/>
      <vertAlign val="subscript"/>
      <scheme val="minor"/>
    </font>
    <font>
      <name val="Arial"/>
      <family val="2"/>
      <sz val="14"/>
    </font>
    <font>
      <name val="Calibri"/>
      <family val="2"/>
      <i val="1"/>
      <color theme="1"/>
      <sz val="14"/>
      <scheme val="minor"/>
    </font>
    <font>
      <name val="Calibri"/>
      <family val="2"/>
      <sz val="14"/>
      <scheme val="minor"/>
    </font>
    <font>
      <name val="Calibri"/>
      <family val="2"/>
      <color theme="1"/>
      <sz val="14"/>
      <vertAlign val="superscript"/>
      <scheme val="minor"/>
    </font>
    <font>
      <name val="Calibri"/>
      <family val="2"/>
      <b val="1"/>
      <sz val="14"/>
      <scheme val="minor"/>
    </font>
    <font>
      <name val="Arial"/>
      <family val="2"/>
      <b val="1"/>
      <sz val="14"/>
    </font>
    <font>
      <name val="Calibri"/>
      <family val="2"/>
      <b val="1"/>
      <color theme="1"/>
      <sz val="14"/>
      <vertAlign val="superscript"/>
      <scheme val="minor"/>
    </font>
    <font>
      <name val="Arial"/>
      <family val="2"/>
      <sz val="12"/>
    </font>
    <font>
      <name val="Arial"/>
      <family val="2"/>
      <b val="1"/>
      <sz val="20"/>
    </font>
  </fonts>
  <fills count="4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0" borderId="0"/>
  </cellStyleXfs>
  <cellXfs count="89">
    <xf numFmtId="0" fontId="0" fillId="0" borderId="0" pivotButton="0" quotePrefix="0" xfId="0"/>
    <xf numFmtId="0" fontId="3" fillId="0" borderId="0" pivotButton="0" quotePrefix="0" xfId="0"/>
    <xf numFmtId="164" fontId="0" fillId="0" borderId="0" pivotButton="0" quotePrefix="0" xfId="0"/>
    <xf numFmtId="2" fontId="0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5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2" fontId="6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pivotButton="0" quotePrefix="0" xfId="0"/>
    <xf numFmtId="0" fontId="0" fillId="0" borderId="3" pivotButton="0" quotePrefix="0" xfId="0"/>
    <xf numFmtId="0" fontId="0" fillId="0" borderId="0" pivotButton="0" quotePrefix="0" xfId="0"/>
    <xf numFmtId="0" fontId="0" fillId="0" borderId="5" pivotButton="0" quotePrefix="0" xfId="0"/>
    <xf numFmtId="0" fontId="0" fillId="0" borderId="7" pivotButton="0" quotePrefix="0" xfId="0"/>
    <xf numFmtId="0" fontId="0" fillId="0" borderId="8" pivotButton="0" quotePrefix="0" xfId="0"/>
    <xf numFmtId="0" fontId="4" fillId="0" borderId="0" applyAlignment="1" pivotButton="0" quotePrefix="0" xfId="0">
      <alignment horizontal="center"/>
    </xf>
    <xf numFmtId="11" fontId="0" fillId="0" borderId="0" applyAlignment="1" pivotButton="0" quotePrefix="0" xfId="0">
      <alignment horizontal="center"/>
    </xf>
    <xf numFmtId="0" fontId="0" fillId="0" borderId="4" pivotButton="0" quotePrefix="0" xfId="0"/>
    <xf numFmtId="0" fontId="0" fillId="0" borderId="6" pivotButton="0" quotePrefix="0" xfId="0"/>
    <xf numFmtId="0" fontId="7" fillId="0" borderId="0" applyAlignment="1" pivotButton="0" quotePrefix="0" xfId="0">
      <alignment horizontal="center" readingOrder="1"/>
    </xf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8" fillId="0" borderId="1" applyAlignment="1" pivotButton="0" quotePrefix="0" xfId="0">
      <alignment horizontal="center"/>
    </xf>
    <xf numFmtId="0" fontId="8" fillId="0" borderId="2" applyAlignment="1" pivotButton="0" quotePrefix="0" xfId="0">
      <alignment horizontal="center"/>
    </xf>
    <xf numFmtId="0" fontId="10" fillId="0" borderId="4" pivotButton="0" quotePrefix="0" xfId="0"/>
    <xf numFmtId="0" fontId="8" fillId="0" borderId="0" applyAlignment="1" pivotButton="0" quotePrefix="0" xfId="0">
      <alignment horizontal="center"/>
    </xf>
    <xf numFmtId="0" fontId="11" fillId="0" borderId="6" pivotButton="0" quotePrefix="0" xfId="0"/>
    <xf numFmtId="0" fontId="8" fillId="0" borderId="7" applyAlignment="1" pivotButton="0" quotePrefix="0" xfId="0">
      <alignment horizontal="center"/>
    </xf>
    <xf numFmtId="0" fontId="12" fillId="0" borderId="2" applyAlignment="1" pivotButton="0" quotePrefix="0" xfId="0">
      <alignment horizontal="center"/>
    </xf>
    <xf numFmtId="0" fontId="12" fillId="0" borderId="3" pivotButton="0" quotePrefix="0" xfId="0"/>
    <xf numFmtId="11" fontId="12" fillId="0" borderId="2" applyAlignment="1" pivotButton="0" quotePrefix="0" xfId="0">
      <alignment horizontal="center"/>
    </xf>
    <xf numFmtId="0" fontId="8" fillId="0" borderId="4" applyAlignment="1" pivotButton="0" quotePrefix="0" xfId="0">
      <alignment horizontal="center"/>
    </xf>
    <xf numFmtId="11" fontId="12" fillId="0" borderId="0" applyAlignment="1" pivotButton="0" quotePrefix="0" xfId="0">
      <alignment horizontal="center"/>
    </xf>
    <xf numFmtId="0" fontId="12" fillId="0" borderId="5" pivotButton="0" quotePrefix="0" xfId="0"/>
    <xf numFmtId="11" fontId="12" fillId="0" borderId="0" applyAlignment="1" pivotButton="0" quotePrefix="0" xfId="0">
      <alignment horizontal="center"/>
    </xf>
    <xf numFmtId="0" fontId="14" fillId="0" borderId="6" applyAlignment="1" pivotButton="0" quotePrefix="0" xfId="0">
      <alignment horizontal="center"/>
    </xf>
    <xf numFmtId="0" fontId="12" fillId="0" borderId="7" applyAlignment="1" pivotButton="0" quotePrefix="0" xfId="0">
      <alignment horizontal="center"/>
    </xf>
    <xf numFmtId="0" fontId="10" fillId="0" borderId="8" pivotButton="0" quotePrefix="0" xfId="0"/>
    <xf numFmtId="11" fontId="12" fillId="0" borderId="7" applyAlignment="1" pivotButton="0" quotePrefix="0" xfId="0">
      <alignment horizontal="center"/>
    </xf>
    <xf numFmtId="0" fontId="12" fillId="0" borderId="8" pivotButton="0" quotePrefix="0" xfId="0"/>
    <xf numFmtId="0" fontId="15" fillId="0" borderId="0" applyAlignment="1" pivotButton="0" quotePrefix="0" xfId="0">
      <alignment horizontal="center"/>
    </xf>
    <xf numFmtId="0" fontId="8" fillId="2" borderId="1" applyAlignment="1" pivotButton="0" quotePrefix="0" xfId="0">
      <alignment horizontal="center"/>
    </xf>
    <xf numFmtId="0" fontId="10" fillId="2" borderId="2" pivotButton="0" quotePrefix="0" xfId="0"/>
    <xf numFmtId="0" fontId="10" fillId="2" borderId="3" pivotButton="0" quotePrefix="0" xfId="0"/>
    <xf numFmtId="0" fontId="8" fillId="2" borderId="4" pivotButton="0" quotePrefix="0" xfId="0"/>
    <xf numFmtId="0" fontId="10" fillId="2" borderId="5" pivotButton="0" quotePrefix="0" xfId="0"/>
    <xf numFmtId="0" fontId="8" fillId="2" borderId="4" applyAlignment="1" pivotButton="0" quotePrefix="0" xfId="0">
      <alignment horizontal="center"/>
    </xf>
    <xf numFmtId="11" fontId="10" fillId="2" borderId="5" pivotButton="0" quotePrefix="0" xfId="0"/>
    <xf numFmtId="0" fontId="8" fillId="2" borderId="6" applyAlignment="1" pivotButton="0" quotePrefix="0" xfId="0">
      <alignment horizontal="center"/>
    </xf>
    <xf numFmtId="0" fontId="10" fillId="2" borderId="8" pivotButton="0" quotePrefix="0" xfId="0"/>
    <xf numFmtId="0" fontId="10" fillId="0" borderId="2" pivotButton="0" quotePrefix="0" xfId="0"/>
    <xf numFmtId="0" fontId="10" fillId="0" borderId="0" pivotButton="0" quotePrefix="0" xfId="0"/>
    <xf numFmtId="0" fontId="12" fillId="0" borderId="0" pivotButton="0" quotePrefix="0" xfId="0"/>
    <xf numFmtId="0" fontId="12" fillId="0" borderId="0" pivotButton="0" quotePrefix="0" xfId="0"/>
    <xf numFmtId="0" fontId="12" fillId="0" borderId="0" pivotButton="0" quotePrefix="0" xfId="0"/>
    <xf numFmtId="0" fontId="12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0" fontId="10" fillId="2" borderId="0" applyAlignment="1" pivotButton="0" quotePrefix="0" xfId="0">
      <alignment horizontal="center"/>
    </xf>
    <xf numFmtId="11" fontId="10" fillId="2" borderId="0" applyAlignment="1" pivotButton="0" quotePrefix="0" xfId="0">
      <alignment horizontal="center"/>
    </xf>
    <xf numFmtId="0" fontId="10" fillId="2" borderId="7" applyAlignment="1" pivotButton="0" quotePrefix="0" xfId="0">
      <alignment horizontal="center"/>
    </xf>
    <xf numFmtId="0" fontId="10" fillId="0" borderId="0" applyAlignment="1" pivotButton="0" quotePrefix="0" xfId="0">
      <alignment horizontal="center"/>
    </xf>
    <xf numFmtId="0" fontId="17" fillId="0" borderId="0" pivotButton="0" quotePrefix="0" xfId="0"/>
    <xf numFmtId="0" fontId="15" fillId="0" borderId="0" pivotButton="0" quotePrefix="0" xfId="0"/>
    <xf numFmtId="0" fontId="18" fillId="0" borderId="0" pivotButton="0" quotePrefix="0" xfId="1"/>
    <xf numFmtId="0" fontId="5" fillId="0" borderId="0" pivotButton="0" quotePrefix="0" xfId="1"/>
    <xf numFmtId="0" fontId="5" fillId="0" borderId="9" pivotButton="0" quotePrefix="0" xfId="1"/>
    <xf numFmtId="0" fontId="5" fillId="0" borderId="10" pivotButton="0" quotePrefix="0" xfId="1"/>
    <xf numFmtId="0" fontId="5" fillId="0" borderId="11" pivotButton="0" quotePrefix="0" xfId="1"/>
    <xf numFmtId="0" fontId="5" fillId="0" borderId="12" pivotButton="0" quotePrefix="0" xfId="1"/>
    <xf numFmtId="0" fontId="5" fillId="0" borderId="0" pivotButton="0" quotePrefix="0" xfId="1"/>
    <xf numFmtId="0" fontId="5" fillId="0" borderId="13" pivotButton="0" quotePrefix="0" xfId="1"/>
    <xf numFmtId="0" fontId="5" fillId="0" borderId="14" pivotButton="0" quotePrefix="0" xfId="1"/>
    <xf numFmtId="0" fontId="5" fillId="0" borderId="15" pivotButton="0" quotePrefix="0" xfId="1"/>
    <xf numFmtId="0" fontId="5" fillId="0" borderId="16" pivotButton="0" quotePrefix="0" xfId="1"/>
    <xf numFmtId="0" fontId="0" fillId="0" borderId="1" pivotButton="0" quotePrefix="0" xfId="0"/>
    <xf numFmtId="0" fontId="0" fillId="0" borderId="2" pivotButton="0" quotePrefix="0" xfId="0"/>
    <xf numFmtId="0" fontId="0" fillId="0" borderId="2" pivotButton="0" quotePrefix="0" xfId="0"/>
    <xf numFmtId="0" fontId="0" fillId="0" borderId="4" pivotButton="0" quotePrefix="0" xfId="0"/>
    <xf numFmtId="0" fontId="0" fillId="0" borderId="6" pivotButton="0" quotePrefix="0" xfId="0"/>
    <xf numFmtId="0" fontId="0" fillId="0" borderId="7" pivotButton="0" quotePrefix="0" xfId="0"/>
    <xf numFmtId="0" fontId="10" fillId="3" borderId="0" pivotButton="0" quotePrefix="0" xfId="0"/>
    <xf numFmtId="0" fontId="17" fillId="0" borderId="17" pivotButton="0" quotePrefix="0" xfId="0"/>
    <xf numFmtId="0" fontId="17" fillId="0" borderId="18" pivotButton="0" quotePrefix="0" xfId="0"/>
    <xf numFmtId="0" fontId="17" fillId="0" borderId="19" pivotButton="0" quotePrefix="0" xfId="0"/>
    <xf numFmtId="0" fontId="17" fillId="0" borderId="20" pivotButton="0" quotePrefix="0" xfId="0"/>
    <xf numFmtId="0" fontId="0" fillId="0" borderId="18" pivotButton="0" quotePrefix="0" xfId="0"/>
    <xf numFmtId="0" fontId="0" fillId="0" borderId="19" pivotButton="0" quotePrefix="0" xfId="0"/>
  </cellXfs>
  <cellStyles count="2">
    <cellStyle name="Normal" xfId="0" builtinId="0"/>
    <cellStyle name="Normal 2" xfId="1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31"/>
  <sheetViews>
    <sheetView tabSelected="1" zoomScale="80" zoomScaleNormal="80" workbookViewId="0">
      <selection activeCell="B8" sqref="B8"/>
    </sheetView>
  </sheetViews>
  <sheetFormatPr baseColWidth="8" defaultRowHeight="12.75"/>
  <cols>
    <col width="16.28515625" customWidth="1" style="13" min="1" max="1"/>
    <col width="24.28515625" customWidth="1" style="13" min="2" max="2"/>
    <col width="13" customWidth="1" style="13" min="3" max="3"/>
    <col width="25.28515625" customWidth="1" style="13" min="4" max="4"/>
    <col width="16.7109375" customWidth="1" style="13" min="5" max="5"/>
    <col width="13.28515625" customWidth="1" style="13" min="6" max="6"/>
    <col width="10.28515625" customWidth="1" style="13" min="7" max="7"/>
    <col width="11" customWidth="1" style="13" min="8" max="8"/>
    <col width="10.5703125" customWidth="1" style="13" min="9" max="9"/>
    <col width="10.85546875" customWidth="1" style="13" min="10" max="10"/>
    <col width="10" customWidth="1" style="13" min="11" max="11"/>
    <col width="10.140625" customWidth="1" style="13" min="12" max="12"/>
    <col width="11" customWidth="1" style="13" min="13" max="13"/>
    <col width="10.7109375" customWidth="1" style="13" min="14" max="14"/>
    <col width="10.5703125" customWidth="1" style="13" min="15" max="15"/>
    <col width="10.85546875" customWidth="1" style="13" min="16" max="16"/>
    <col width="10.42578125" customWidth="1" style="13" min="17" max="17"/>
    <col width="10.28515625" customWidth="1" style="13" min="18" max="19"/>
    <col width="10.85546875" customWidth="1" style="13" min="20" max="20"/>
    <col width="10.5703125" customWidth="1" style="13" min="21" max="21"/>
  </cols>
  <sheetData>
    <row r="1" ht="21.75" customHeight="1" s="13">
      <c r="A1" s="24" t="inlineStr">
        <is>
          <t>Density</t>
        </is>
      </c>
      <c r="B1" s="30" t="n">
        <v>1.16</v>
      </c>
      <c r="C1" s="31" t="inlineStr">
        <is>
          <t>kg/m3</t>
        </is>
      </c>
      <c r="D1" s="24" t="inlineStr">
        <is>
          <t>PDML Bounding Box</t>
        </is>
      </c>
      <c r="E1" s="25" t="inlineStr">
        <is>
          <t>Xlength</t>
        </is>
      </c>
      <c r="F1" s="32" t="n">
        <v>0.09906</v>
      </c>
      <c r="G1" s="31" t="inlineStr">
        <is>
          <t>m</t>
        </is>
      </c>
      <c r="H1" s="76" t="n"/>
      <c r="I1" s="78" t="n"/>
      <c r="J1" s="78" t="n"/>
      <c r="K1" s="78" t="n"/>
      <c r="L1" s="78" t="n"/>
      <c r="M1" s="78" t="n"/>
      <c r="N1" s="78" t="n"/>
      <c r="O1" s="78" t="n"/>
      <c r="P1" s="78" t="n"/>
      <c r="Q1" s="12" t="n"/>
    </row>
    <row r="2" ht="21.75" customHeight="1" s="13">
      <c r="A2" s="33" t="inlineStr">
        <is>
          <t>Viscosity</t>
        </is>
      </c>
      <c r="B2" s="36" t="n">
        <v>1.84e-05</v>
      </c>
      <c r="C2" s="35" t="inlineStr">
        <is>
          <t>Ns/m2</t>
        </is>
      </c>
      <c r="D2" s="26" t="n"/>
      <c r="E2" s="27" t="inlineStr">
        <is>
          <t>Ylength</t>
        </is>
      </c>
      <c r="F2" s="36" t="n">
        <v>0.091948</v>
      </c>
      <c r="G2" s="35" t="inlineStr">
        <is>
          <t>m</t>
        </is>
      </c>
      <c r="H2" s="79" t="n"/>
      <c r="K2" s="86" t="inlineStr">
        <is>
          <t>D:\Program Files\Siemens\SimcenterFlotherm\2504</t>
        </is>
      </c>
      <c r="L2" s="87" t="n"/>
      <c r="M2" s="87" t="n"/>
      <c r="N2" s="87" t="n"/>
      <c r="O2" s="87" t="n"/>
      <c r="P2" s="88" t="n"/>
      <c r="Q2" s="14" t="n"/>
    </row>
    <row r="3" ht="21" customHeight="1" s="13" thickBot="1">
      <c r="A3" s="37" t="inlineStr">
        <is>
          <t>PDML File</t>
        </is>
      </c>
      <c r="B3" s="38" t="inlineStr">
        <is>
          <t>D:\Program Files\Siemens\SimcenterFlotherm\2504\examples\FloXML\Spreadsheets\PCB1.pdml</t>
        </is>
      </c>
      <c r="C3" s="39" t="n"/>
      <c r="D3" s="28" t="n"/>
      <c r="E3" s="29" t="inlineStr">
        <is>
          <t>Zlength</t>
        </is>
      </c>
      <c r="F3" s="40" t="n">
        <v>0.0048608</v>
      </c>
      <c r="G3" s="41" t="inlineStr">
        <is>
          <t>m</t>
        </is>
      </c>
      <c r="H3" s="80" t="n"/>
      <c r="I3" s="81" t="n"/>
      <c r="J3" s="81" t="n"/>
      <c r="K3" s="81" t="n"/>
      <c r="L3" s="81" t="n"/>
      <c r="M3" s="81" t="n"/>
      <c r="N3" s="81" t="n"/>
      <c r="O3" s="81" t="n"/>
      <c r="P3" s="81" t="n"/>
      <c r="Q3" s="16" t="n"/>
    </row>
    <row r="4" ht="16.5" customHeight="1" s="13" thickBot="1">
      <c r="A4" s="23" t="n"/>
      <c r="B4" s="18" t="n"/>
    </row>
    <row r="5" ht="18.75" customHeight="1" s="13">
      <c r="A5" s="23" t="n"/>
      <c r="B5" s="18" t="n"/>
      <c r="D5" s="43" t="inlineStr">
        <is>
          <t>Windtunnel Results</t>
        </is>
      </c>
      <c r="E5" s="44" t="n"/>
      <c r="F5" s="45" t="n"/>
      <c r="H5" s="1" t="n"/>
    </row>
    <row r="6" ht="18.75" customHeight="1" s="13">
      <c r="A6" s="23" t="n"/>
      <c r="B6" s="18" t="n"/>
      <c r="D6" s="46" t="inlineStr">
        <is>
          <t>Number of data points</t>
        </is>
      </c>
      <c r="E6" s="59">
        <f>COUNT(B9:B7001)</f>
        <v/>
      </c>
      <c r="F6" s="47" t="n"/>
      <c r="G6" s="8" t="n"/>
      <c r="H6" s="8" t="n"/>
      <c r="I6" s="8" t="n"/>
      <c r="J6">
        <f>E6+5</f>
        <v/>
      </c>
      <c r="K6" s="8" t="n"/>
      <c r="L6" s="8" t="n"/>
      <c r="M6" s="8" t="n"/>
      <c r="N6" s="7" t="n"/>
      <c r="O6" s="7" t="n"/>
      <c r="P6" s="7" t="n"/>
      <c r="Q6" s="7" t="n"/>
      <c r="R6" s="7" t="n"/>
      <c r="S6" s="7" t="n"/>
      <c r="T6" s="7" t="n"/>
      <c r="U6" s="7" t="n"/>
    </row>
    <row r="7" ht="18.75" customHeight="1" s="13">
      <c r="D7" s="48" t="inlineStr">
        <is>
          <t>A</t>
        </is>
      </c>
      <c r="E7" s="60">
        <f>IF(F1=0,INDEX(LINEST(INDIRECT("b9:b"&amp;J6&amp;""),INDIRECT("A9:A"&amp;J6&amp;"")^{1,2},FALSE,TRUE),1,2)*2/$B$2,INDEX(LINEST(INDIRECT("b9:b"&amp;J6&amp;""),INDIRECT("A9:A"&amp;J6&amp;"")^{1,2},FALSE,TRUE),1,2)*2/$B$2/$F$1)</f>
        <v/>
      </c>
      <c r="F7" s="49" t="inlineStr">
        <is>
          <t>1/m</t>
        </is>
      </c>
    </row>
    <row r="8" ht="18.75" customHeight="1" s="13">
      <c r="A8" s="23" t="inlineStr">
        <is>
          <t>Velocity (m/s)</t>
        </is>
      </c>
      <c r="B8" s="23" t="inlineStr">
        <is>
          <t>Pressure Drop (Pa)</t>
        </is>
      </c>
      <c r="D8" s="48" t="inlineStr">
        <is>
          <t>B</t>
        </is>
      </c>
      <c r="E8" s="59">
        <f>IF(F1=0,INDEX(LINEST(INDIRECT("b9:b"&amp;J6&amp;""),INDIRECT("A9:A"&amp;J6&amp;"")^{1,2},FALSE,TRUE),1,1)*2/$B$1,INDEX(LINEST(INDIRECT("b9:b"&amp;J6&amp;""),INDIRECT("A9:A"&amp;J6&amp;"")^{1,2},FALSE,TRUE),1,1)*2/$B$1/$F$1)</f>
        <v/>
      </c>
      <c r="F8" s="47" t="inlineStr">
        <is>
          <t>1/m</t>
        </is>
      </c>
    </row>
    <row r="9" ht="21.75" customHeight="1" s="13" thickBot="1">
      <c r="A9" s="42" t="n">
        <v>0.5</v>
      </c>
      <c r="B9" s="62" t="n">
        <v>2.53</v>
      </c>
      <c r="C9" s="56" t="inlineStr">
        <is>
          <t>Solved</t>
        </is>
      </c>
      <c r="D9" s="50" t="inlineStr">
        <is>
          <t>R2</t>
        </is>
      </c>
      <c r="E9" s="61">
        <f>INDEX(LINEST(INDIRECT("b9:b"&amp;J6&amp;""),INDIRECT("A9:A"&amp;J6&amp;"")^{1,2},FALSE,TRUE),3,1)</f>
        <v/>
      </c>
      <c r="F9" s="51" t="n"/>
      <c r="J9" s="21" t="n"/>
    </row>
    <row r="10" ht="18.75" customHeight="1" s="13">
      <c r="A10" s="42" t="n">
        <v>1</v>
      </c>
      <c r="B10" s="62" t="n">
        <v>7.93196</v>
      </c>
      <c r="C10" s="56" t="inlineStr">
        <is>
          <t>Solved</t>
        </is>
      </c>
    </row>
    <row r="11" ht="19.5" customHeight="1" s="13" thickBot="1">
      <c r="A11" s="42" t="n">
        <v>1.5</v>
      </c>
      <c r="B11" s="62" t="n">
        <v>14.7</v>
      </c>
      <c r="C11" s="56" t="inlineStr">
        <is>
          <t>Solved</t>
        </is>
      </c>
    </row>
    <row r="12" ht="18.75" customHeight="1" s="13">
      <c r="A12" s="42" t="n">
        <v>2</v>
      </c>
      <c r="B12" s="62" t="n">
        <v>25.28</v>
      </c>
      <c r="C12" s="56" t="inlineStr">
        <is>
          <t>Solved</t>
        </is>
      </c>
      <c r="D12" s="24" t="inlineStr">
        <is>
          <t>Save Options</t>
        </is>
      </c>
      <c r="E12" s="52" t="n"/>
      <c r="F12" s="12" t="n"/>
    </row>
    <row r="13" ht="18.75" customHeight="1" s="13">
      <c r="A13" s="42" t="n">
        <v>2.5</v>
      </c>
      <c r="B13" s="62" t="n">
        <v>38.22</v>
      </c>
      <c r="C13" s="56" t="inlineStr">
        <is>
          <t>Solved</t>
        </is>
      </c>
      <c r="D13" s="33" t="inlineStr">
        <is>
          <t>XML Name</t>
        </is>
      </c>
      <c r="E13" s="53" t="inlineStr">
        <is>
          <t>PCB_ADV_RES</t>
        </is>
      </c>
      <c r="F13" s="14" t="n"/>
    </row>
    <row r="14" ht="18.75" customHeight="1" s="13">
      <c r="A14" s="42" t="n">
        <v>3</v>
      </c>
      <c r="B14" s="62" t="n">
        <v>54.04</v>
      </c>
      <c r="C14" s="56" t="inlineStr">
        <is>
          <t>Solved</t>
        </is>
      </c>
      <c r="D14" s="33" t="inlineStr">
        <is>
          <t>Output Folder</t>
        </is>
      </c>
      <c r="E14" s="82" t="inlineStr">
        <is>
          <t>D:\Program Files\Siemens\SimcenterFlotherm\2504\flotherm-automation\floxml_output\windtunnel_advres</t>
        </is>
      </c>
      <c r="F14" s="14" t="n"/>
    </row>
    <row r="15" ht="18.75" customHeight="1" s="13">
      <c r="A15" s="23" t="n"/>
      <c r="B15" s="22" t="n"/>
      <c r="C15" s="56" t="n"/>
      <c r="D15" s="79" t="n"/>
      <c r="F15" s="14" t="n"/>
    </row>
    <row r="16" ht="18.75" customHeight="1" s="13">
      <c r="A16" s="23" t="n"/>
      <c r="B16" s="22" t="n"/>
      <c r="C16" s="56" t="n"/>
      <c r="D16" s="79" t="n"/>
      <c r="F16" s="14" t="n"/>
    </row>
    <row r="17" ht="19.5" customHeight="1" s="13" thickBot="1">
      <c r="B17" s="22" t="n"/>
      <c r="C17" s="56" t="n"/>
      <c r="D17" s="80" t="n"/>
      <c r="E17" s="81" t="n"/>
      <c r="F17" s="16" t="n"/>
    </row>
    <row r="18" ht="18.75" customHeight="1" s="13">
      <c r="B18" s="23" t="n"/>
      <c r="C18" s="56" t="n"/>
      <c r="D18" s="2" t="n"/>
      <c r="E18" s="2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</row>
    <row r="19" ht="18.75" customHeight="1" s="13">
      <c r="B19" s="23" t="n"/>
      <c r="C19" s="56" t="n"/>
      <c r="D19" s="2" t="n"/>
      <c r="E19" s="2" t="n"/>
      <c r="F19" s="2" t="n"/>
      <c r="G19" s="2" t="n"/>
      <c r="H19" s="2" t="n"/>
      <c r="I19" s="2" t="n"/>
      <c r="J19" s="2" t="n"/>
      <c r="K19" s="2" t="n"/>
      <c r="L19" s="2" t="n"/>
      <c r="M19" s="2" t="n"/>
      <c r="N19" s="2" t="n"/>
      <c r="O19" s="2" t="n"/>
      <c r="P19" s="2" t="n"/>
      <c r="Q19" s="2" t="n"/>
      <c r="R19" s="2" t="n"/>
      <c r="S19" s="2" t="n"/>
      <c r="T19" s="2" t="n"/>
      <c r="U19" s="2" t="n"/>
    </row>
    <row r="20" ht="18.75" customHeight="1" s="13">
      <c r="B20" s="22" t="n"/>
      <c r="C20" s="57" t="n"/>
      <c r="D20" s="7" t="n"/>
      <c r="E20" s="22" t="n"/>
      <c r="F20" s="22" t="n"/>
      <c r="G20" s="22" t="n"/>
      <c r="H20" s="22" t="n"/>
      <c r="I20" s="22" t="n"/>
      <c r="J20" s="22" t="n"/>
      <c r="K20" s="22" t="n"/>
      <c r="L20" s="22" t="n"/>
      <c r="M20" s="22" t="n"/>
      <c r="N20" s="22" t="n"/>
      <c r="O20" s="22" t="n"/>
      <c r="P20" s="22" t="n"/>
      <c r="Q20" s="22" t="n"/>
      <c r="R20" s="22" t="n"/>
    </row>
    <row r="21" ht="18.75" customHeight="1" s="13">
      <c r="B21" s="23" t="n"/>
      <c r="C21" s="58" t="n"/>
      <c r="D21" s="9" t="n"/>
      <c r="E21" s="9" t="n"/>
      <c r="F21" s="9" t="n"/>
      <c r="G21" s="9" t="n"/>
      <c r="H21" s="9" t="n"/>
      <c r="I21" s="9" t="n"/>
      <c r="J21" s="9" t="n"/>
      <c r="K21" s="9" t="n"/>
      <c r="L21" s="9" t="n"/>
      <c r="M21" s="9" t="n"/>
      <c r="N21" s="3" t="n"/>
      <c r="O21" s="3" t="n"/>
      <c r="P21" s="3" t="n"/>
      <c r="Q21" s="3" t="n"/>
      <c r="R21" s="3" t="n"/>
      <c r="S21" s="3" t="n"/>
      <c r="T21" s="3" t="n"/>
      <c r="U21" s="3" t="n"/>
    </row>
    <row r="22" ht="18.75" customHeight="1" s="13">
      <c r="B22" s="23" t="n"/>
      <c r="C22" s="58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3" t="n"/>
      <c r="O22" s="3" t="n"/>
      <c r="P22" s="3" t="n"/>
      <c r="Q22" s="3" t="n"/>
      <c r="R22" s="3" t="n"/>
      <c r="S22" s="3" t="n"/>
      <c r="T22" s="3" t="n"/>
      <c r="U22" s="3" t="n"/>
    </row>
    <row r="23" ht="18.75" customHeight="1" s="13">
      <c r="B23" s="22" t="n"/>
      <c r="C23" s="56" t="n"/>
      <c r="D23" s="64" t="inlineStr">
        <is>
          <t>Instructions</t>
        </is>
      </c>
    </row>
    <row r="24" ht="18.75" customHeight="1" s="13">
      <c r="B24" s="22" t="n"/>
      <c r="C24" s="56" t="n"/>
      <c r="D24" s="63" t="inlineStr">
        <is>
          <t>1. Determine the X, Y, Z bounding box dimensions of the geometry to be characterized and enter those dimensions in Cells F1, F2, F3.  Note, the windtunnel will always be moving air in the X-direction as per the diagram.</t>
        </is>
      </c>
    </row>
    <row r="25" ht="18.75" customHeight="1" s="13">
      <c r="B25" s="22" t="n"/>
      <c r="C25" s="56" t="n"/>
      <c r="D25" s="63" t="inlineStr">
        <is>
          <t>2. Save the PDML file for the geometry to be characterized to disk, and type the path to this PDML file in Cell B3.</t>
        </is>
      </c>
    </row>
    <row r="26" ht="18.75" customHeight="1" s="13">
      <c r="B26" s="22" t="n"/>
      <c r="C26" s="56" t="n"/>
      <c r="D26" s="63" t="inlineStr">
        <is>
          <t>3. Use the 'Check Model' button to inspect the complete windtunnel model.</t>
        </is>
      </c>
    </row>
    <row r="27" ht="18.75" customHeight="1" s="13">
      <c r="B27" s="22" t="n"/>
      <c r="C27" s="56" t="n"/>
      <c r="D27" s="63" t="inlineStr">
        <is>
          <t>4. Enter the air velocities to be considered in Column A</t>
        </is>
      </c>
    </row>
    <row r="28" ht="18.75" customHeight="1" s="13">
      <c r="B28" s="22" t="n"/>
      <c r="C28" s="56" t="n"/>
      <c r="D28" s="63" t="inlineStr">
        <is>
          <t>5. Use the 'Solve All' command to commence the solution of all the velocity scenarios</t>
        </is>
      </c>
    </row>
    <row r="29" ht="15" customHeight="1" s="13">
      <c r="D29" s="63" t="inlineStr">
        <is>
          <t>6. Use the 'Create Compact Model' after all the solves are complete to build the XML resistance.</t>
        </is>
      </c>
    </row>
    <row r="30"/>
    <row r="31"/>
  </sheetData>
  <mergeCells count="1">
    <mergeCell ref="K2:P2"/>
  </mergeCells>
  <pageMargins left="0.75" right="0.75" top="1" bottom="1" header="0.5" footer="0.5"/>
  <pageSetup orientation="portrait" horizontalDpi="4294967293" verticalDpi="300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C7"/>
  <sheetViews>
    <sheetView workbookViewId="0">
      <selection activeCell="B8" sqref="B8"/>
    </sheetView>
  </sheetViews>
  <sheetFormatPr baseColWidth="8" defaultColWidth="9.140625" defaultRowHeight="12.75"/>
  <cols>
    <col width="33.5703125" bestFit="1" customWidth="1" style="71" min="1" max="1"/>
    <col width="9.140625" customWidth="1" style="71" min="2" max="2"/>
    <col width="52.42578125" bestFit="1" customWidth="1" style="71" min="3" max="3"/>
    <col width="9.140625" customWidth="1" style="71" min="4" max="16384"/>
  </cols>
  <sheetData>
    <row r="1" ht="26.25" customHeight="1" s="13">
      <c r="A1" s="65" t="inlineStr">
        <is>
          <t>Advanced Model Settings</t>
        </is>
      </c>
    </row>
    <row r="3">
      <c r="A3" s="67" t="inlineStr">
        <is>
          <t>Upstream solution domain multiplier</t>
        </is>
      </c>
      <c r="B3" s="68" t="n">
        <v>3</v>
      </c>
      <c r="C3" s="69" t="inlineStr">
        <is>
          <t>pdml assembly lengths upstream flow development extent</t>
        </is>
      </c>
    </row>
    <row r="4">
      <c r="A4" s="70" t="inlineStr">
        <is>
          <t>Downstream solution domain multiplier</t>
        </is>
      </c>
      <c r="B4" s="71" t="n">
        <v>10</v>
      </c>
      <c r="C4" s="72" t="inlineStr">
        <is>
          <t>pdml assembly lengths downstream flow development extent</t>
        </is>
      </c>
    </row>
    <row r="5">
      <c r="A5" s="70" t="inlineStr">
        <is>
          <t>Grid size in X (flow) direction</t>
        </is>
      </c>
      <c r="B5" s="71" t="n">
        <v>0.01</v>
      </c>
      <c r="C5" s="72" t="inlineStr">
        <is>
          <t>[m]</t>
        </is>
      </c>
    </row>
    <row r="6">
      <c r="A6" s="70" t="inlineStr">
        <is>
          <t>Grid size in Y and Z (spanwise) direction</t>
        </is>
      </c>
      <c r="B6" s="71" t="n">
        <v>0.001</v>
      </c>
      <c r="C6" s="72" t="inlineStr">
        <is>
          <t>[m]</t>
        </is>
      </c>
    </row>
    <row r="7">
      <c r="A7" s="73" t="inlineStr">
        <is>
          <t>MaxIts</t>
        </is>
      </c>
      <c r="B7" s="74" t="n">
        <v>100</v>
      </c>
      <c r="C7" s="75" t="inlineStr">
        <is>
          <t>Maximum number of iterations to convergence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Byron Blackmore</dc:creator>
  <dc:title>Folded Fin Heat Sink Characterization</dc:title>
  <dc:description>This spreadsheet creates a windtunnel XML project for each air speed provided.  The PDML model is solved for each case and the results extracted can be used to create an advanced resistance object.</dc:description>
  <dcterms:created xsi:type="dcterms:W3CDTF">2004-01-07T21:02:37Z</dcterms:created>
  <dcterms:modified xsi:type="dcterms:W3CDTF">2026-03-18T16:37:31Z</dcterms:modified>
  <cp:lastModifiedBy>Batool, Haider</cp:lastModifiedBy>
</cp:coreProperties>
</file>