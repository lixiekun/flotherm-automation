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wi\Documents\TME\Projects\FT11_1Release\DCIM Software Development Toolkit\_Delivered\"/>
    </mc:Choice>
  </mc:AlternateContent>
  <bookViews>
    <workbookView xWindow="0" yWindow="0" windowWidth="23016" windowHeight="9516"/>
  </bookViews>
  <sheets>
    <sheet name="Server" sheetId="1" r:id="rId1"/>
    <sheet name="Help &amp; Advice" sheetId="8" r:id="rId2"/>
    <sheet name="BackUp" sheetId="7" r:id="rId3"/>
  </sheets>
  <externalReferences>
    <externalReference r:id="rId4"/>
    <externalReference r:id="rId5"/>
  </externalReferences>
  <definedNames>
    <definedName name="Cooler">'[1]DC Layout'!$BO$25:$BO$26</definedName>
    <definedName name="DC_Coolers">'[1]DC Layout'!$K$2,'[1]DC Layout'!$AK$2,'[1]DC Layout'!$AV$14,'[1]DC Layout'!$X$31,'[1]DC Layout'!$C$14</definedName>
    <definedName name="DC_Racks">'[1]DC Layout'!$I$8:$K$9,'[1]DC Layout'!$I$10:$K$11,'[1]DC Layout'!$I$12:$K$13,'[1]DC Layout'!$I$14:$K$15,'[1]DC Layout'!$I$16:$K$17,'[1]DC Layout'!$I$18:$K$19,'[1]DC Layout'!$I$20:$K$21,'[1]DC Layout'!$I$22:$K$23,'[1]DC Layout'!$I$24:$K$25,'[1]DC Layout'!$I$26:$K$27,'[1]DC Layout'!$P$8:$R$9,'[1]DC Layout'!$P$10:$R$11,'[1]DC Layout'!$P$12:$R$13,'[1]DC Layout'!$P$14:$R$15,'[1]DC Layout'!$P$16:$R$17,'[1]DC Layout'!$P$18:$R$19,'[1]DC Layout'!$P$20:$R$21,'[1]DC Layout'!$P$22:$R$23,'[1]DC Layout'!$P$24:$R$25,'[1]DC Layout'!$P$26:$R$27,'[1]DC Layout'!$V$8:$X$9,'[1]DC Layout'!$V$10:$X$11,'[1]DC Layout'!$V$12:$X$13,'[1]DC Layout'!$V$14:$X$15,'[1]DC Layout'!$V$16:$X$17,'[1]DC Layout'!$V$18:$X$19,'[1]DC Layout'!$V$20:$X$21,'[1]DC Layout'!$V$22:$X$23,'[1]DC Layout'!$V$24:$X$25,'[1]DC Layout'!$V$26:$X$27,'[1]DC Layout'!$AC$8:$AE$9,'[1]DC Layout'!$AC$10:$AE$11,'[1]DC Layout'!$AC$12:$AE$13,'[1]DC Layout'!$AC$14:$AE$15,'[1]DC Layout'!$AC$16:$AE$17,'[1]DC Layout'!$AC$18:$AE$19,'[1]DC Layout'!$AC$20:$AE$21,'[1]DC Layout'!$AC$22:$AE$23,'[1]DC Layout'!$AC$24:$AE$25,'[1]DC Layout'!$AC$26:$AE$27,'[1]DC Layout'!$AI$8:$AK$9,'[1]DC Layout'!$AI$10:$AK$11,'[1]DC Layout'!$AI$12:$AK$13,'[1]DC Layout'!$AI$14:$AK$15,'[1]DC Layout'!$AI$16:$AK$17,'[1]DC Layout'!$AI$18:$AK$19,'[1]DC Layout'!$AI$20:$AK$21,'[1]DC Layout'!$AI$22:$AK$23,'[1]DC Layout'!$AI$24:$AK$25,'[1]DC Layout'!$AI$26:$AK$27,'[1]DC Layout'!$AP$8:$AR$9,'[1]DC Layout'!$AP$10:$AR$11,'[1]DC Layout'!$AP$12:$AR$13,'[1]DC Layout'!$AP$14:$AR$15,'[1]DC Layout'!$AP$16:$AR$17,'[1]DC Layout'!$AP$18:$AR$19,'[1]DC Layout'!$AP$20:$AR$21,'[1]DC Layout'!$AP$22:$AR$23,'[1]DC Layout'!$AP$24:$AR$25,'[1]DC Layout'!$AP$26:$AR$27</definedName>
    <definedName name="DC_Rows">'[1]DC Layout'!$I$8:$K$27,'[1]DC Layout'!$P$8:$R$27,'[1]DC Layout'!$V$8:$X$27,'[1]DC Layout'!$AC$8:$AE$27,'[1]DC Layout'!$AI$8:$AK$27,'[1]DC Layout'!$AP$8:$AR$27</definedName>
    <definedName name="Flow_Type" localSheetId="1">'[1]DC Layout'!$BS$25:$BS$26</definedName>
    <definedName name="Flow_Type">Server!$A$41:$A$43</definedName>
    <definedName name="Inlet">Server!$M$10:$P$12</definedName>
    <definedName name="Length">Server!$E$41:$E$44</definedName>
    <definedName name="LibraryServers">[2]RackData!$C$3:$C$7</definedName>
    <definedName name="Opening">Server!$I$41:$I$42</definedName>
    <definedName name="Outlet">Server!$N$4:$Q$6</definedName>
    <definedName name="Power">Server!$F$41:$F$43</definedName>
    <definedName name="Temperature_Change">Server!$C$41:$C$42</definedName>
    <definedName name="Volume_Flow_Rate">Server!$B$41:$B$44</definedName>
    <definedName name="Volume_Flow_Rate_Power">Server!$D$41:$D$44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" i="1" l="1"/>
  <c r="Q2" i="1"/>
  <c r="D23" i="1" l="1"/>
</calcChain>
</file>

<file path=xl/comments1.xml><?xml version="1.0" encoding="utf-8"?>
<comments xmlns="http://schemas.openxmlformats.org/spreadsheetml/2006/main">
  <authors>
    <author>Wilson, John (Santa Clara)</author>
  </authors>
  <commentList>
    <comment ref="N3" authorId="0" shapeId="0">
      <text>
        <r>
          <rPr>
            <sz val="9"/>
            <color indexed="63"/>
            <rFont val="Tahoma"/>
            <family val="2"/>
          </rPr>
          <t>Choose which areas are open or closed</t>
        </r>
      </text>
    </comment>
    <comment ref="E7" authorId="0" shapeId="0">
      <text>
        <r>
          <rPr>
            <sz val="9"/>
            <color indexed="63"/>
            <rFont val="Tahoma"/>
            <family val="2"/>
          </rPr>
          <t>Assign a color to the server body</t>
        </r>
      </text>
    </comment>
    <comment ref="G11" authorId="0" shapeId="0">
      <text>
        <r>
          <rPr>
            <sz val="9"/>
            <color indexed="63"/>
            <rFont val="Tahoma"/>
            <family val="2"/>
          </rPr>
          <t>Modify Units</t>
        </r>
      </text>
    </comment>
    <comment ref="E21" authorId="0" shapeId="0">
      <text>
        <r>
          <rPr>
            <sz val="9"/>
            <color indexed="63"/>
            <rFont val="Tahoma"/>
            <family val="2"/>
          </rPr>
          <t>Choose from:
Volume Flow Rate
Temperature Change
Volume Flow Rate/Power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<sst xmlns="http://schemas.openxmlformats.org/spreadsheetml/2006/main" count="90" uniqueCount="48">
  <si>
    <t>Power:</t>
  </si>
  <si>
    <t>Flow Type</t>
  </si>
  <si>
    <t>Flow Type:</t>
  </si>
  <si>
    <t>Volume Flow Rate</t>
  </si>
  <si>
    <t>Height:</t>
  </si>
  <si>
    <t>Depth:</t>
  </si>
  <si>
    <t>cfm</t>
  </si>
  <si>
    <t>Volume Flow Rate/Power</t>
  </si>
  <si>
    <t>°C</t>
  </si>
  <si>
    <t>°F</t>
  </si>
  <si>
    <t>Temp Units</t>
  </si>
  <si>
    <t>Vol Flow Units</t>
  </si>
  <si>
    <t>Temperature Change</t>
  </si>
  <si>
    <t>cfm/kW</t>
  </si>
  <si>
    <t>(l/s)/kW</t>
  </si>
  <si>
    <t>Width:</t>
  </si>
  <si>
    <t>mm</t>
  </si>
  <si>
    <t>in</t>
  </si>
  <si>
    <t>U</t>
  </si>
  <si>
    <t>m</t>
  </si>
  <si>
    <t>Length</t>
  </si>
  <si>
    <t>Power</t>
  </si>
  <si>
    <t>BTU/hr</t>
  </si>
  <si>
    <t>kW</t>
  </si>
  <si>
    <t>W</t>
  </si>
  <si>
    <t>(m^3/s)/kW</t>
  </si>
  <si>
    <t>(m^3/s)/W</t>
  </si>
  <si>
    <t>l/s</t>
  </si>
  <si>
    <t>m^3/s</t>
  </si>
  <si>
    <t>m^3/hr</t>
  </si>
  <si>
    <t>Color:</t>
  </si>
  <si>
    <t>Server Name:</t>
  </si>
  <si>
    <t>Thermal/Airflow Definition</t>
  </si>
  <si>
    <t>Dimensions</t>
  </si>
  <si>
    <t>Overall</t>
  </si>
  <si>
    <t>Opening</t>
  </si>
  <si>
    <t>Open</t>
  </si>
  <si>
    <t>Closed</t>
  </si>
  <si>
    <t>Inlet</t>
  </si>
  <si>
    <t>Outlet</t>
  </si>
  <si>
    <t>My Server</t>
  </si>
  <si>
    <t>Volume Flow Rate/Power :</t>
  </si>
  <si>
    <t>Builds a FloXML Assembly file of a server using the FloTHERM Rack SmartPart</t>
  </si>
  <si>
    <t>This spreadsheet is supplied to existing customers for use alongside FloTHERM Version 11.1 and above.</t>
  </si>
  <si>
    <t xml:space="preserve">It is provided under the terms described in </t>
  </si>
  <si>
    <t>https://supportnet.mentor.com/about/policies/custom-script-support.cfm</t>
  </si>
  <si>
    <t>Please read this webpage before contacting Mentor Graphics for support.</t>
  </si>
  <si>
    <t>This spreadsheet creates a FloTHERM assembly of a Data Center server using FloTHERM FloXML.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</si>
</sst>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9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rgb="FFB14949"/>
      <name val="Calibri"/>
      <family val="2"/>
      <scheme val="minor"/>
    </font>
    <font>
      <sz val="11"/>
      <color rgb="FFB14949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9"/>
      <color indexed="81"/>
      <name val="Tahoma"/>
      <charset val="1"/>
    </font>
    <font>
      <sz val="9"/>
      <color indexed="63"/>
      <name val="Tahoma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61D37C"/>
        <bgColor indexed="64"/>
      </patternFill>
    </fill>
    <fill>
      <patternFill patternType="solid">
        <fgColor rgb="FFCF8B8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57171"/>
        <bgColor indexed="64"/>
      </patternFill>
    </fill>
  </fills>
  <borders count="3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/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rgb="FF757171"/>
      </left>
      <right style="medium">
        <color rgb="FF757171"/>
      </right>
      <top style="medium">
        <color rgb="FF757171"/>
      </top>
      <bottom style="medium">
        <color rgb="FF757171"/>
      </bottom>
      <diagonal/>
    </border>
  </borders>
  <cellStyleXfs count="5">
    <xf numFmtId="0" fontId="0" fillId="0" borderId="0"/>
    <xf numFmtId="0" fontId="1" fillId="2" borderId="1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NumberFormat="1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3" fillId="0" borderId="3" xfId="0" applyFont="1" applyBorder="1" applyAlignment="1">
      <alignment horizontal="left"/>
    </xf>
    <xf numFmtId="0" fontId="0" fillId="0" borderId="3" xfId="0" applyBorder="1"/>
    <xf numFmtId="0" fontId="2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right" vertical="center"/>
    </xf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19" xfId="0" applyBorder="1"/>
    <xf numFmtId="0" fontId="2" fillId="0" borderId="20" xfId="0" applyFont="1" applyBorder="1" applyAlignment="1">
      <alignment horizontal="center"/>
    </xf>
    <xf numFmtId="0" fontId="5" fillId="0" borderId="14" xfId="0" applyFont="1" applyBorder="1"/>
    <xf numFmtId="0" fontId="0" fillId="0" borderId="0" xfId="0" applyAlignment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6" xfId="0" applyBorder="1" applyAlignme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" fillId="0" borderId="23" xfId="0" applyFont="1" applyBorder="1"/>
    <xf numFmtId="0" fontId="0" fillId="0" borderId="25" xfId="0" applyBorder="1"/>
    <xf numFmtId="0" fontId="7" fillId="0" borderId="0" xfId="0" applyFont="1" applyBorder="1" applyAlignment="1">
      <alignment vertical="center"/>
    </xf>
    <xf numFmtId="0" fontId="11" fillId="0" borderId="0" xfId="0" applyNumberFormat="1" applyFont="1"/>
    <xf numFmtId="0" fontId="11" fillId="0" borderId="0" xfId="0" applyFont="1" applyAlignment="1">
      <alignment horizontal="right"/>
    </xf>
    <xf numFmtId="164" fontId="0" fillId="0" borderId="0" xfId="0" applyNumberFormat="1"/>
    <xf numFmtId="0" fontId="4" fillId="2" borderId="30" xfId="1" applyNumberFormat="1" applyFont="1" applyBorder="1" applyAlignment="1" applyProtection="1">
      <alignment horizontal="center" vertical="center"/>
      <protection locked="0"/>
    </xf>
    <xf numFmtId="0" fontId="4" fillId="2" borderId="1" xfId="1" applyFont="1" applyAlignment="1" applyProtection="1">
      <alignment horizontal="center" vertical="center"/>
      <protection locked="0"/>
    </xf>
    <xf numFmtId="0" fontId="0" fillId="7" borderId="10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2" borderId="1" xfId="1" applyFont="1" applyBorder="1" applyAlignment="1" applyProtection="1">
      <alignment horizontal="center"/>
      <protection locked="0"/>
    </xf>
    <xf numFmtId="0" fontId="10" fillId="11" borderId="0" xfId="0" applyFont="1" applyFill="1" applyBorder="1" applyAlignment="1" applyProtection="1">
      <protection locked="0"/>
    </xf>
    <xf numFmtId="0" fontId="15" fillId="0" borderId="0" xfId="4"/>
    <xf numFmtId="0" fontId="9" fillId="0" borderId="0" xfId="0" applyFont="1" applyAlignment="1">
      <alignment horizontal="left" vertical="center"/>
    </xf>
    <xf numFmtId="0" fontId="1" fillId="9" borderId="31" xfId="3" applyFill="1" applyBorder="1" applyAlignment="1" applyProtection="1">
      <alignment horizontal="center" vertical="center"/>
    </xf>
    <xf numFmtId="0" fontId="1" fillId="12" borderId="31" xfId="3" applyFill="1" applyBorder="1" applyAlignment="1" applyProtection="1">
      <alignment horizontal="center" vertical="center"/>
    </xf>
    <xf numFmtId="0" fontId="1" fillId="10" borderId="31" xfId="2" applyFill="1" applyBorder="1" applyAlignment="1" applyProtection="1">
      <alignment horizontal="center" vertical="center"/>
    </xf>
    <xf numFmtId="0" fontId="1" fillId="3" borderId="31" xfId="2" applyBorder="1" applyAlignment="1" applyProtection="1">
      <alignment horizontal="center" vertical="center"/>
    </xf>
    <xf numFmtId="0" fontId="1" fillId="8" borderId="31" xfId="2" applyFill="1" applyBorder="1" applyAlignment="1" applyProtection="1">
      <alignment horizontal="center" vertical="center"/>
    </xf>
    <xf numFmtId="0" fontId="0" fillId="6" borderId="1" xfId="1" applyFont="1" applyFill="1" applyBorder="1" applyAlignment="1" applyProtection="1">
      <alignment horizontal="center"/>
      <protection locked="0"/>
    </xf>
    <xf numFmtId="0" fontId="12" fillId="3" borderId="0" xfId="2" applyFont="1" applyAlignment="1">
      <alignment horizontal="center"/>
    </xf>
    <xf numFmtId="0" fontId="2" fillId="2" borderId="1" xfId="1" applyFont="1" applyBorder="1" applyAlignment="1" applyProtection="1">
      <alignment horizontal="center"/>
      <protection locked="0"/>
    </xf>
    <xf numFmtId="0" fontId="2" fillId="2" borderId="1" xfId="1" applyFont="1" applyAlignment="1" applyProtection="1">
      <alignment horizontal="center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7" borderId="12" xfId="0" applyFill="1" applyBorder="1" applyAlignment="1" applyProtection="1">
      <alignment horizontal="left"/>
      <protection locked="0"/>
    </xf>
    <xf numFmtId="0" fontId="8" fillId="0" borderId="0" xfId="0" applyFont="1" applyAlignment="1">
      <alignment horizontal="right" vertical="center"/>
    </xf>
  </cellXfs>
  <cellStyles count="5">
    <cellStyle name="20% - Accent1" xfId="2" builtinId="30"/>
    <cellStyle name="40% - Accent2" xfId="3" builtinId="35"/>
    <cellStyle name="Hyperlink" xfId="4" builtinId="8"/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586D8A"/>
      <color rgb="FF84C6A8"/>
      <color rgb="FFCF8B8B"/>
      <color rgb="FFBECA66"/>
      <color rgb="FFDAFADA"/>
      <color rgb="FF1FE92D"/>
      <color rgb="FF61D37C"/>
      <color rgb="FFB14949"/>
      <color rgb="FF6C2C2C"/>
      <color rgb="FFDEE3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5046</xdr:colOff>
      <xdr:row>3</xdr:row>
      <xdr:rowOff>2</xdr:rowOff>
    </xdr:from>
    <xdr:to>
      <xdr:col>13</xdr:col>
      <xdr:colOff>5443</xdr:colOff>
      <xdr:row>8</xdr:row>
      <xdr:rowOff>133728</xdr:rowOff>
    </xdr:to>
    <xdr:cxnSp macro="">
      <xdr:nvCxnSpPr>
        <xdr:cNvPr id="8" name="Uleft"/>
        <xdr:cNvCxnSpPr/>
      </xdr:nvCxnSpPr>
      <xdr:spPr>
        <a:xfrm flipV="1">
          <a:off x="4958046" y="555101"/>
          <a:ext cx="611006" cy="804892"/>
        </a:xfrm>
        <a:prstGeom prst="line">
          <a:avLst/>
        </a:prstGeom>
        <a:ln w="12700" cap="flat" cmpd="sng" algn="ctr">
          <a:solidFill>
            <a:srgbClr val="757171"/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2</xdr:row>
      <xdr:rowOff>186715</xdr:rowOff>
    </xdr:from>
    <xdr:to>
      <xdr:col>17</xdr:col>
      <xdr:colOff>2524</xdr:colOff>
      <xdr:row>9</xdr:row>
      <xdr:rowOff>1</xdr:rowOff>
    </xdr:to>
    <xdr:cxnSp macro="">
      <xdr:nvCxnSpPr>
        <xdr:cNvPr id="9" name="Uright"/>
        <xdr:cNvCxnSpPr/>
      </xdr:nvCxnSpPr>
      <xdr:spPr>
        <a:xfrm flipV="1">
          <a:off x="7395437" y="550053"/>
          <a:ext cx="613133" cy="812465"/>
        </a:xfrm>
        <a:prstGeom prst="line">
          <a:avLst/>
        </a:prstGeom>
        <a:ln w="12700" cap="flat" cmpd="sng" algn="ctr">
          <a:solidFill>
            <a:srgbClr val="757171"/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335583</xdr:colOff>
      <xdr:row>5</xdr:row>
      <xdr:rowOff>42457</xdr:rowOff>
    </xdr:from>
    <xdr:to>
      <xdr:col>13</xdr:col>
      <xdr:colOff>9797</xdr:colOff>
      <xdr:row>9</xdr:row>
      <xdr:rowOff>2523</xdr:rowOff>
    </xdr:to>
    <xdr:cxnSp macro="">
      <xdr:nvCxnSpPr>
        <xdr:cNvPr id="14" name="Lleft"/>
        <xdr:cNvCxnSpPr/>
      </xdr:nvCxnSpPr>
      <xdr:spPr>
        <a:xfrm flipV="1">
          <a:off x="5288583" y="981080"/>
          <a:ext cx="284823" cy="383960"/>
        </a:xfrm>
        <a:prstGeom prst="line">
          <a:avLst/>
        </a:prstGeom>
        <a:ln w="12700">
          <a:solidFill>
            <a:srgbClr val="757171"/>
          </a:solidFill>
        </a:ln>
        <a:effectLst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5</xdr:row>
      <xdr:rowOff>52986</xdr:rowOff>
    </xdr:from>
    <xdr:to>
      <xdr:col>16</xdr:col>
      <xdr:colOff>610609</xdr:colOff>
      <xdr:row>11</xdr:row>
      <xdr:rowOff>52986</xdr:rowOff>
    </xdr:to>
    <xdr:cxnSp macro="">
      <xdr:nvCxnSpPr>
        <xdr:cNvPr id="16" name="Lright"/>
        <xdr:cNvCxnSpPr/>
      </xdr:nvCxnSpPr>
      <xdr:spPr>
        <a:xfrm flipV="1">
          <a:off x="7395437" y="991609"/>
          <a:ext cx="610609" cy="807417"/>
        </a:xfrm>
        <a:prstGeom prst="line">
          <a:avLst/>
        </a:prstGeom>
        <a:ln w="12700">
          <a:solidFill>
            <a:srgbClr val="757171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906780</xdr:colOff>
      <xdr:row>25</xdr:row>
      <xdr:rowOff>60960</xdr:rowOff>
    </xdr:from>
    <xdr:to>
      <xdr:col>4</xdr:col>
      <xdr:colOff>731520</xdr:colOff>
      <xdr:row>26</xdr:row>
      <xdr:rowOff>144780</xdr:rowOff>
    </xdr:to>
    <xdr:sp macro="[0]!main" textlink="">
      <xdr:nvSpPr>
        <xdr:cNvPr id="2" name="Rectangle 1"/>
        <xdr:cNvSpPr/>
      </xdr:nvSpPr>
      <xdr:spPr>
        <a:xfrm>
          <a:off x="1874520" y="3543300"/>
          <a:ext cx="1409700" cy="26670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Server</a:t>
          </a:r>
          <a:r>
            <a:rPr lang="en-US" sz="1100" baseline="0"/>
            <a:t> FloXML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DC_Build_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WorkingWithLibraries/Rack_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 Layout"/>
      <sheetName val="Help &amp; Advice"/>
    </sheetNames>
    <sheetDataSet>
      <sheetData sheetId="0">
        <row r="2">
          <cell r="K2" t="str">
            <v>Active</v>
          </cell>
          <cell r="AK2" t="str">
            <v>In-Active</v>
          </cell>
        </row>
        <row r="8">
          <cell r="I8">
            <v>2</v>
          </cell>
          <cell r="P8">
            <v>1</v>
          </cell>
          <cell r="V8">
            <v>5</v>
          </cell>
          <cell r="AI8">
            <v>4</v>
          </cell>
          <cell r="AP8">
            <v>1</v>
          </cell>
        </row>
        <row r="10">
          <cell r="I10">
            <v>2</v>
          </cell>
          <cell r="P10">
            <v>4</v>
          </cell>
          <cell r="V10">
            <v>0</v>
          </cell>
          <cell r="AC10">
            <v>1</v>
          </cell>
          <cell r="AI10">
            <v>2</v>
          </cell>
          <cell r="AP10">
            <v>2</v>
          </cell>
        </row>
        <row r="12">
          <cell r="I12">
            <v>3</v>
          </cell>
          <cell r="P12">
            <v>4</v>
          </cell>
          <cell r="V12">
            <v>1</v>
          </cell>
          <cell r="AC12">
            <v>3</v>
          </cell>
          <cell r="AI12">
            <v>2</v>
          </cell>
          <cell r="AP12">
            <v>1</v>
          </cell>
        </row>
        <row r="14">
          <cell r="C14" t="str">
            <v>Active</v>
          </cell>
          <cell r="I14">
            <v>4</v>
          </cell>
          <cell r="P14">
            <v>1</v>
          </cell>
          <cell r="V14">
            <v>2</v>
          </cell>
          <cell r="AC14">
            <v>1</v>
          </cell>
          <cell r="AI14">
            <v>2</v>
          </cell>
          <cell r="AP14">
            <v>0</v>
          </cell>
          <cell r="AV14" t="str">
            <v>Active</v>
          </cell>
        </row>
        <row r="16">
          <cell r="I16">
            <v>3</v>
          </cell>
          <cell r="P16">
            <v>1</v>
          </cell>
          <cell r="V16">
            <v>2</v>
          </cell>
          <cell r="AC16">
            <v>1</v>
          </cell>
          <cell r="AI16">
            <v>2</v>
          </cell>
          <cell r="AP16">
            <v>3</v>
          </cell>
        </row>
        <row r="18">
          <cell r="I18">
            <v>1</v>
          </cell>
          <cell r="P18">
            <v>1</v>
          </cell>
          <cell r="V18">
            <v>2</v>
          </cell>
          <cell r="AC18">
            <v>1</v>
          </cell>
          <cell r="AI18">
            <v>2</v>
          </cell>
          <cell r="AP18">
            <v>2</v>
          </cell>
        </row>
        <row r="20">
          <cell r="I20">
            <v>1</v>
          </cell>
          <cell r="P20">
            <v>1</v>
          </cell>
          <cell r="V20">
            <v>0.1</v>
          </cell>
          <cell r="AC20">
            <v>1</v>
          </cell>
          <cell r="AI20">
            <v>2</v>
          </cell>
          <cell r="AP20">
            <v>2</v>
          </cell>
        </row>
        <row r="22">
          <cell r="I22">
            <v>1</v>
          </cell>
          <cell r="P22">
            <v>1</v>
          </cell>
          <cell r="AC22">
            <v>1</v>
          </cell>
          <cell r="AI22">
            <v>2</v>
          </cell>
          <cell r="AP22">
            <v>2</v>
          </cell>
        </row>
        <row r="24">
          <cell r="I24">
            <v>1</v>
          </cell>
          <cell r="P24">
            <v>1</v>
          </cell>
          <cell r="AC24">
            <v>1</v>
          </cell>
          <cell r="AI24">
            <v>2</v>
          </cell>
          <cell r="AP24">
            <v>2</v>
          </cell>
        </row>
        <row r="25">
          <cell r="BO25" t="str">
            <v>Active</v>
          </cell>
          <cell r="BS25" t="str">
            <v>Temperature Change [°C]</v>
          </cell>
        </row>
        <row r="26">
          <cell r="I26">
            <v>1</v>
          </cell>
          <cell r="P26">
            <v>1</v>
          </cell>
          <cell r="AC26">
            <v>1</v>
          </cell>
          <cell r="AI26">
            <v>2</v>
          </cell>
          <cell r="AP26">
            <v>2</v>
          </cell>
          <cell r="BO26" t="str">
            <v>In-Active</v>
          </cell>
          <cell r="BS26" t="str">
            <v>Volume Flow Rate/Power [(m^3/s)/kW]</v>
          </cell>
        </row>
        <row r="31">
          <cell r="X31" t="str">
            <v>Active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 Builder"/>
      <sheetName val="Help &amp; Advice"/>
      <sheetName val="RackData"/>
    </sheetNames>
    <sheetDataSet>
      <sheetData sheetId="0"/>
      <sheetData sheetId="1"/>
      <sheetData sheetId="2">
        <row r="3">
          <cell r="C3" t="str">
            <v>Use Blank</v>
          </cell>
        </row>
        <row r="4">
          <cell r="C4" t="str">
            <v>1U 150W dT=10°C</v>
          </cell>
        </row>
        <row r="5">
          <cell r="C5" t="str">
            <v>2U 300W dT=10°C</v>
          </cell>
        </row>
        <row r="6">
          <cell r="C6" t="str">
            <v>3U 450W dT=10°C</v>
          </cell>
        </row>
        <row r="7">
          <cell r="C7" t="str">
            <v>4U 600W dT=10°C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V67"/>
  <sheetViews>
    <sheetView showGridLines="0" showRowColHeaders="0" tabSelected="1" zoomScaleNormal="100" workbookViewId="0">
      <selection activeCell="G23" sqref="G23:I23"/>
    </sheetView>
  </sheetViews>
  <sheetFormatPr defaultRowHeight="14.4" x14ac:dyDescent="0.3"/>
  <cols>
    <col min="2" max="2" width="4.44140625" customWidth="1"/>
    <col min="3" max="3" width="0.77734375" customWidth="1"/>
    <col min="4" max="4" width="23.109375" bestFit="1" customWidth="1"/>
    <col min="5" max="5" width="12" customWidth="1"/>
    <col min="6" max="6" width="0.77734375" customWidth="1"/>
    <col min="7" max="7" width="4.88671875" customWidth="1"/>
    <col min="8" max="8" width="0.77734375" customWidth="1"/>
    <col min="9" max="9" width="5.21875" customWidth="1"/>
    <col min="10" max="10" width="0.77734375" customWidth="1"/>
    <col min="12" max="12" width="1.6640625" customWidth="1"/>
    <col min="14" max="14" width="8.88671875" style="1"/>
    <col min="15" max="17" width="8.88671875" style="1" customWidth="1"/>
    <col min="18" max="18" width="1.44140625" style="1" customWidth="1"/>
    <col min="19" max="20" width="8.88671875" style="1"/>
  </cols>
  <sheetData>
    <row r="2" spans="2:22" x14ac:dyDescent="0.3">
      <c r="B2" s="58" t="s">
        <v>42</v>
      </c>
      <c r="C2" s="58"/>
      <c r="D2" s="58"/>
      <c r="E2" s="58"/>
      <c r="F2" s="58"/>
      <c r="G2" s="58"/>
      <c r="H2" s="58"/>
      <c r="I2" s="58"/>
      <c r="J2" s="58"/>
      <c r="K2" s="58"/>
      <c r="N2" s="41"/>
      <c r="O2" s="41"/>
      <c r="P2" s="41"/>
      <c r="Q2" s="42" t="str">
        <f>IF(AND(N3="Closed",N3=O3,N3=P3,N3=Q3),"All Outlets are closed, will assume fully open","")</f>
        <v/>
      </c>
    </row>
    <row r="3" spans="2:22" ht="15" thickBot="1" x14ac:dyDescent="0.35">
      <c r="N3" s="44" t="s">
        <v>36</v>
      </c>
      <c r="O3" s="44" t="s">
        <v>36</v>
      </c>
      <c r="P3" s="44" t="s">
        <v>37</v>
      </c>
      <c r="Q3" s="44" t="s">
        <v>37</v>
      </c>
    </row>
    <row r="4" spans="2:22" ht="15" thickBot="1" x14ac:dyDescent="0.35">
      <c r="C4" s="30"/>
      <c r="D4" s="38" t="s">
        <v>34</v>
      </c>
      <c r="E4" s="31"/>
      <c r="F4" s="31"/>
      <c r="G4" s="31"/>
      <c r="H4" s="32"/>
      <c r="N4" s="52"/>
      <c r="O4" s="52"/>
      <c r="P4" s="53"/>
      <c r="Q4" s="53"/>
      <c r="S4" s="51" t="s">
        <v>39</v>
      </c>
    </row>
    <row r="5" spans="2:22" ht="15" thickBot="1" x14ac:dyDescent="0.35">
      <c r="C5" s="39"/>
      <c r="D5" s="10" t="s">
        <v>31</v>
      </c>
      <c r="E5" s="61" t="s">
        <v>40</v>
      </c>
      <c r="F5" s="62"/>
      <c r="G5" s="63"/>
      <c r="H5" s="34"/>
      <c r="I5" s="29"/>
      <c r="J5" s="29"/>
      <c r="K5" s="29"/>
      <c r="N5" s="52"/>
      <c r="O5" s="52"/>
      <c r="P5" s="52"/>
      <c r="Q5" s="52"/>
      <c r="S5" s="51"/>
      <c r="U5" s="1"/>
      <c r="V5" s="1"/>
    </row>
    <row r="6" spans="2:22" ht="4.2" customHeight="1" thickBot="1" x14ac:dyDescent="0.35">
      <c r="C6" s="39"/>
      <c r="D6" s="10"/>
      <c r="E6" s="11"/>
      <c r="F6" s="11"/>
      <c r="G6" s="11"/>
      <c r="H6" s="33"/>
      <c r="N6" s="52"/>
      <c r="O6" s="52"/>
      <c r="P6" s="52"/>
      <c r="Q6" s="52"/>
      <c r="U6" s="1"/>
      <c r="V6" s="1"/>
    </row>
    <row r="7" spans="2:22" x14ac:dyDescent="0.3">
      <c r="C7" s="39"/>
      <c r="D7" s="10" t="s">
        <v>30</v>
      </c>
      <c r="E7" s="49"/>
      <c r="F7" s="11"/>
      <c r="G7" s="11"/>
      <c r="H7" s="33"/>
      <c r="N7"/>
      <c r="O7"/>
      <c r="P7"/>
      <c r="Q7"/>
      <c r="U7" s="1"/>
      <c r="V7" s="1"/>
    </row>
    <row r="8" spans="2:22" ht="4.2" customHeight="1" thickBot="1" x14ac:dyDescent="0.35">
      <c r="C8" s="35"/>
      <c r="D8" s="36"/>
      <c r="E8" s="36"/>
      <c r="F8" s="36"/>
      <c r="G8" s="36"/>
      <c r="H8" s="37"/>
      <c r="N8"/>
      <c r="O8"/>
      <c r="P8"/>
      <c r="Q8"/>
      <c r="U8" s="1"/>
      <c r="V8" s="1"/>
    </row>
    <row r="9" spans="2:22" ht="10.8" customHeight="1" thickBot="1" x14ac:dyDescent="0.35">
      <c r="N9"/>
      <c r="O9"/>
      <c r="P9"/>
      <c r="Q9"/>
      <c r="U9" s="1"/>
      <c r="V9" s="1"/>
    </row>
    <row r="10" spans="2:22" ht="15" thickBot="1" x14ac:dyDescent="0.35">
      <c r="C10" s="18"/>
      <c r="D10" s="28" t="s">
        <v>33</v>
      </c>
      <c r="E10" s="19"/>
      <c r="F10" s="19"/>
      <c r="G10" s="20"/>
      <c r="H10" s="21"/>
      <c r="K10" s="64" t="s">
        <v>38</v>
      </c>
      <c r="L10" s="40"/>
      <c r="M10" s="54"/>
      <c r="N10" s="54"/>
      <c r="O10" s="54"/>
      <c r="P10" s="54"/>
      <c r="Q10"/>
      <c r="U10" s="1"/>
      <c r="V10" s="1"/>
    </row>
    <row r="11" spans="2:22" ht="15" thickBot="1" x14ac:dyDescent="0.35">
      <c r="C11" s="22"/>
      <c r="D11" s="17" t="s">
        <v>4</v>
      </c>
      <c r="E11" s="46">
        <v>1</v>
      </c>
      <c r="F11" s="11"/>
      <c r="G11" s="48" t="s">
        <v>18</v>
      </c>
      <c r="H11" s="23"/>
      <c r="K11" s="64"/>
      <c r="L11" s="40"/>
      <c r="M11" s="55"/>
      <c r="N11" s="55"/>
      <c r="O11" s="55"/>
      <c r="P11" s="56"/>
      <c r="Q11"/>
      <c r="U11" s="1"/>
      <c r="V11" s="1"/>
    </row>
    <row r="12" spans="2:22" ht="4.2" customHeight="1" thickBot="1" x14ac:dyDescent="0.35">
      <c r="C12" s="22"/>
      <c r="D12" s="17"/>
      <c r="E12" s="11"/>
      <c r="F12" s="11"/>
      <c r="G12" s="11"/>
      <c r="H12" s="23"/>
      <c r="M12" s="55"/>
      <c r="N12" s="55"/>
      <c r="O12" s="55"/>
      <c r="P12" s="56"/>
      <c r="Q12"/>
      <c r="U12" s="1"/>
      <c r="V12" s="1"/>
    </row>
    <row r="13" spans="2:22" x14ac:dyDescent="0.3">
      <c r="C13" s="22"/>
      <c r="D13" s="17" t="s">
        <v>5</v>
      </c>
      <c r="E13" s="46">
        <v>499.99999999999994</v>
      </c>
      <c r="F13" s="11"/>
      <c r="G13" s="48" t="s">
        <v>16</v>
      </c>
      <c r="H13" s="23"/>
      <c r="M13" s="45" t="s">
        <v>36</v>
      </c>
      <c r="N13" s="45" t="s">
        <v>36</v>
      </c>
      <c r="O13" s="45" t="s">
        <v>36</v>
      </c>
      <c r="P13" s="45" t="s">
        <v>36</v>
      </c>
      <c r="Q13"/>
      <c r="U13" s="1"/>
      <c r="V13" s="1"/>
    </row>
    <row r="14" spans="2:22" ht="4.2" customHeight="1" x14ac:dyDescent="0.3">
      <c r="C14" s="22"/>
      <c r="D14" s="17"/>
      <c r="E14" s="11"/>
      <c r="F14" s="11"/>
      <c r="G14" s="11"/>
      <c r="H14" s="23"/>
      <c r="N14"/>
      <c r="O14"/>
      <c r="P14"/>
      <c r="Q14"/>
      <c r="U14" s="1"/>
      <c r="V14" s="1"/>
    </row>
    <row r="15" spans="2:22" x14ac:dyDescent="0.3">
      <c r="C15" s="22"/>
      <c r="D15" s="17" t="s">
        <v>15</v>
      </c>
      <c r="E15" s="47">
        <v>500</v>
      </c>
      <c r="F15" s="11"/>
      <c r="G15" s="48" t="s">
        <v>16</v>
      </c>
      <c r="H15" s="23"/>
      <c r="P15" s="42" t="str">
        <f>IF(AND(M13="Closed",M13=N13,M13=O13,M13=P13),"All Inlets are closed, will assume fully open","")</f>
        <v/>
      </c>
      <c r="Q15"/>
      <c r="U15" s="1"/>
      <c r="V15" s="1"/>
    </row>
    <row r="16" spans="2:22" ht="4.2" customHeight="1" thickBot="1" x14ac:dyDescent="0.35">
      <c r="C16" s="24"/>
      <c r="D16" s="25"/>
      <c r="E16" s="25"/>
      <c r="F16" s="26"/>
      <c r="G16" s="26"/>
      <c r="H16" s="27"/>
      <c r="N16"/>
      <c r="O16"/>
      <c r="P16"/>
      <c r="Q16"/>
      <c r="U16" s="1"/>
      <c r="V16" s="1"/>
    </row>
    <row r="17" spans="3:22" ht="10.8" customHeight="1" thickBot="1" x14ac:dyDescent="0.35">
      <c r="H17" s="3"/>
      <c r="N17"/>
      <c r="O17"/>
      <c r="P17"/>
      <c r="Q17"/>
      <c r="U17" s="1"/>
      <c r="V17" s="1"/>
    </row>
    <row r="18" spans="3:22" x14ac:dyDescent="0.3">
      <c r="C18" s="4"/>
      <c r="D18" s="5" t="s">
        <v>32</v>
      </c>
      <c r="E18" s="5"/>
      <c r="F18" s="6"/>
      <c r="G18" s="6"/>
      <c r="H18" s="7"/>
      <c r="I18" s="6"/>
      <c r="J18" s="8"/>
      <c r="N18"/>
      <c r="O18"/>
      <c r="P18"/>
      <c r="Q18"/>
      <c r="U18" s="1"/>
      <c r="V18" s="1"/>
    </row>
    <row r="19" spans="3:22" x14ac:dyDescent="0.3">
      <c r="C19" s="9"/>
      <c r="D19" s="17" t="s">
        <v>0</v>
      </c>
      <c r="E19" s="46">
        <v>500</v>
      </c>
      <c r="F19" s="11"/>
      <c r="G19" s="60" t="s">
        <v>24</v>
      </c>
      <c r="H19" s="60"/>
      <c r="I19" s="60"/>
      <c r="J19" s="12"/>
      <c r="N19"/>
      <c r="O19"/>
      <c r="P19"/>
      <c r="Q19"/>
      <c r="U19" s="1"/>
      <c r="V19" s="1"/>
    </row>
    <row r="20" spans="3:22" ht="4.2" customHeight="1" x14ac:dyDescent="0.3">
      <c r="C20" s="9"/>
      <c r="D20" s="17"/>
      <c r="E20" s="11"/>
      <c r="F20" s="11"/>
      <c r="G20" s="11"/>
      <c r="H20" s="11"/>
      <c r="I20" s="11"/>
      <c r="J20" s="12"/>
      <c r="U20" s="1"/>
      <c r="V20" s="1"/>
    </row>
    <row r="21" spans="3:22" x14ac:dyDescent="0.3">
      <c r="C21" s="9"/>
      <c r="D21" s="17" t="s">
        <v>2</v>
      </c>
      <c r="E21" s="57" t="s">
        <v>7</v>
      </c>
      <c r="F21" s="57"/>
      <c r="G21" s="57"/>
      <c r="H21" s="57"/>
      <c r="I21" s="57"/>
      <c r="J21" s="12"/>
      <c r="U21" s="1"/>
      <c r="V21" s="1"/>
    </row>
    <row r="22" spans="3:22" ht="4.2" customHeight="1" x14ac:dyDescent="0.3">
      <c r="C22" s="9"/>
      <c r="D22" s="17"/>
      <c r="E22" s="11"/>
      <c r="F22" s="11"/>
      <c r="G22" s="11"/>
      <c r="H22" s="11"/>
      <c r="I22" s="11"/>
      <c r="J22" s="12"/>
      <c r="U22" s="1"/>
      <c r="V22" s="1"/>
    </row>
    <row r="23" spans="3:22" ht="14.4" customHeight="1" x14ac:dyDescent="0.3">
      <c r="C23" s="9"/>
      <c r="D23" s="17" t="str">
        <f>CONCATENATE(E21," :")</f>
        <v>Volume Flow Rate/Power :</v>
      </c>
      <c r="E23" s="46">
        <v>7.4999999999999969E-2</v>
      </c>
      <c r="F23" s="11"/>
      <c r="G23" s="59" t="s">
        <v>25</v>
      </c>
      <c r="H23" s="59"/>
      <c r="I23" s="59"/>
      <c r="J23" s="12"/>
      <c r="U23" s="1"/>
      <c r="V23" s="1"/>
    </row>
    <row r="24" spans="3:22" ht="4.2" customHeight="1" thickBot="1" x14ac:dyDescent="0.35">
      <c r="C24" s="13"/>
      <c r="D24" s="14"/>
      <c r="E24" s="14"/>
      <c r="F24" s="14"/>
      <c r="G24" s="14"/>
      <c r="H24" s="15"/>
      <c r="I24" s="14"/>
      <c r="J24" s="16"/>
      <c r="U24" s="1"/>
      <c r="V24" s="1"/>
    </row>
    <row r="25" spans="3:22" x14ac:dyDescent="0.3">
      <c r="F25" s="2"/>
      <c r="U25" s="1"/>
      <c r="V25" s="1"/>
    </row>
    <row r="26" spans="3:22" x14ac:dyDescent="0.3">
      <c r="U26" s="1"/>
      <c r="V26" s="1"/>
    </row>
    <row r="27" spans="3:22" x14ac:dyDescent="0.3">
      <c r="F27" s="2"/>
      <c r="G27" s="2"/>
      <c r="U27" s="1"/>
      <c r="V27" s="1"/>
    </row>
    <row r="28" spans="3:22" x14ac:dyDescent="0.3">
      <c r="U28" s="1"/>
      <c r="V28" s="1"/>
    </row>
    <row r="29" spans="3:22" x14ac:dyDescent="0.3">
      <c r="U29" s="1"/>
      <c r="V29" s="1"/>
    </row>
    <row r="30" spans="3:22" x14ac:dyDescent="0.3">
      <c r="U30" s="1"/>
      <c r="V30" s="1"/>
    </row>
    <row r="40" spans="1:16" x14ac:dyDescent="0.3">
      <c r="A40" s="43" t="s">
        <v>1</v>
      </c>
      <c r="B40" s="43" t="s">
        <v>11</v>
      </c>
      <c r="C40" s="43" t="s">
        <v>10</v>
      </c>
      <c r="D40" s="43" t="s">
        <v>7</v>
      </c>
      <c r="E40" s="43" t="s">
        <v>20</v>
      </c>
      <c r="F40" s="43" t="s">
        <v>21</v>
      </c>
      <c r="G40" s="43"/>
      <c r="H40" s="43"/>
      <c r="I40" s="43" t="s">
        <v>35</v>
      </c>
      <c r="J40" s="43"/>
      <c r="K40" s="43"/>
      <c r="L40" s="43"/>
      <c r="M40" s="43"/>
      <c r="N40" s="43"/>
      <c r="O40" s="43"/>
      <c r="P40" s="43"/>
    </row>
    <row r="41" spans="1:16" x14ac:dyDescent="0.3">
      <c r="A41" s="43" t="s">
        <v>3</v>
      </c>
      <c r="B41" s="43" t="s">
        <v>6</v>
      </c>
      <c r="C41" s="43" t="s">
        <v>8</v>
      </c>
      <c r="D41" s="43" t="s">
        <v>13</v>
      </c>
      <c r="E41" s="43" t="s">
        <v>17</v>
      </c>
      <c r="F41" s="43" t="s">
        <v>22</v>
      </c>
      <c r="G41" s="43"/>
      <c r="H41" s="43"/>
      <c r="I41" s="43" t="s">
        <v>36</v>
      </c>
      <c r="J41" s="43"/>
      <c r="K41" s="43"/>
      <c r="L41" s="43"/>
      <c r="M41" s="43"/>
      <c r="N41" s="43"/>
      <c r="O41" s="43"/>
      <c r="P41" s="43"/>
    </row>
    <row r="42" spans="1:16" x14ac:dyDescent="0.3">
      <c r="A42" s="43" t="s">
        <v>12</v>
      </c>
      <c r="B42" s="43" t="s">
        <v>27</v>
      </c>
      <c r="C42" s="43" t="s">
        <v>9</v>
      </c>
      <c r="D42" s="43" t="s">
        <v>14</v>
      </c>
      <c r="E42" s="43" t="s">
        <v>16</v>
      </c>
      <c r="F42" s="43" t="s">
        <v>23</v>
      </c>
      <c r="G42" s="43"/>
      <c r="H42" s="43"/>
      <c r="I42" s="43" t="s">
        <v>37</v>
      </c>
      <c r="J42" s="43"/>
      <c r="K42" s="43"/>
      <c r="L42" s="43"/>
      <c r="M42" s="43"/>
      <c r="N42" s="43"/>
      <c r="O42" s="43"/>
      <c r="P42" s="43"/>
    </row>
    <row r="43" spans="1:16" x14ac:dyDescent="0.3">
      <c r="A43" s="43" t="s">
        <v>7</v>
      </c>
      <c r="B43" s="43" t="s">
        <v>28</v>
      </c>
      <c r="C43" s="43"/>
      <c r="D43" s="43" t="s">
        <v>26</v>
      </c>
      <c r="E43" s="43" t="s">
        <v>19</v>
      </c>
      <c r="F43" s="43" t="s">
        <v>24</v>
      </c>
      <c r="G43" s="43"/>
      <c r="H43" s="43"/>
      <c r="I43" s="43"/>
      <c r="J43" s="43"/>
      <c r="K43" s="43"/>
      <c r="L43" s="43"/>
      <c r="M43" s="43"/>
      <c r="N43" s="43"/>
      <c r="O43" s="43"/>
      <c r="P43" s="43"/>
    </row>
    <row r="44" spans="1:16" x14ac:dyDescent="0.3">
      <c r="A44" s="43"/>
      <c r="B44" s="43" t="s">
        <v>29</v>
      </c>
      <c r="C44" s="43"/>
      <c r="D44" s="43" t="s">
        <v>25</v>
      </c>
      <c r="E44" s="43" t="s">
        <v>18</v>
      </c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</row>
    <row r="45" spans="1:16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</row>
    <row r="46" spans="1:16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</row>
    <row r="47" spans="1:16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</row>
    <row r="48" spans="1:16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</row>
    <row r="49" spans="1:16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</row>
    <row r="50" spans="1:16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</row>
    <row r="51" spans="1:16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</row>
    <row r="52" spans="1:16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</row>
    <row r="53" spans="1:16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</row>
    <row r="54" spans="1:16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</row>
    <row r="55" spans="1:16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</row>
    <row r="56" spans="1:16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</row>
    <row r="57" spans="1:16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</row>
    <row r="58" spans="1:16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</row>
    <row r="59" spans="1:16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</row>
    <row r="60" spans="1:16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</row>
    <row r="61" spans="1:16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</row>
    <row r="62" spans="1:16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</row>
    <row r="63" spans="1:16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</row>
    <row r="64" spans="1:16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</row>
    <row r="65" spans="1:16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</row>
    <row r="66" spans="1:16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</row>
    <row r="67" spans="1:16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</row>
  </sheetData>
  <sheetProtection sheet="1" objects="1" scenarios="1" formatCells="0" selectLockedCells="1"/>
  <mergeCells count="15">
    <mergeCell ref="G23:I23"/>
    <mergeCell ref="G19:I19"/>
    <mergeCell ref="E5:G5"/>
    <mergeCell ref="K10:K11"/>
    <mergeCell ref="M10:M12"/>
    <mergeCell ref="N10:N12"/>
    <mergeCell ref="O10:O12"/>
    <mergeCell ref="P10:P12"/>
    <mergeCell ref="E21:I21"/>
    <mergeCell ref="B2:K2"/>
    <mergeCell ref="S4:S5"/>
    <mergeCell ref="N4:N6"/>
    <mergeCell ref="O4:O6"/>
    <mergeCell ref="P4:P6"/>
    <mergeCell ref="Q4:Q6"/>
  </mergeCells>
  <dataValidations count="5">
    <dataValidation type="list" allowBlank="1" showInputMessage="1" showErrorMessage="1" sqref="E21 G22">
      <formula1>Flow_Type</formula1>
    </dataValidation>
    <dataValidation type="list" allowBlank="1" showInputMessage="1" showErrorMessage="1" sqref="G23">
      <formula1>INDIRECT(SUBSTITUTE(SUBSTITUTE(E21," ","_"),"/","_"))</formula1>
    </dataValidation>
    <dataValidation type="list" allowBlank="1" showInputMessage="1" showErrorMessage="1" sqref="H16 G11:G15">
      <formula1>Length</formula1>
    </dataValidation>
    <dataValidation type="list" allowBlank="1" showInputMessage="1" showErrorMessage="1" sqref="H20 G19">
      <formula1>Power</formula1>
    </dataValidation>
    <dataValidation type="list" allowBlank="1" showInputMessage="1" showErrorMessage="1" sqref="M13:P13 N3:Q3">
      <formula1>Opening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>
      <selection activeCell="B7" sqref="B7"/>
    </sheetView>
  </sheetViews>
  <sheetFormatPr defaultRowHeight="14.4" x14ac:dyDescent="0.3"/>
  <sheetData>
    <row r="2" spans="2:6" x14ac:dyDescent="0.3">
      <c r="B2" t="s">
        <v>43</v>
      </c>
    </row>
    <row r="3" spans="2:6" x14ac:dyDescent="0.3">
      <c r="B3" t="s">
        <v>44</v>
      </c>
      <c r="F3" s="50" t="s">
        <v>45</v>
      </c>
    </row>
    <row r="4" spans="2:6" x14ac:dyDescent="0.3">
      <c r="B4" t="s">
        <v>46</v>
      </c>
    </row>
    <row r="6" spans="2:6" x14ac:dyDescent="0.3">
      <c r="B6" t="s">
        <v>47</v>
      </c>
    </row>
  </sheetData>
  <hyperlinks>
    <hyperlink ref="F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Q23"/>
  <sheetViews>
    <sheetView workbookViewId="0">
      <selection activeCell="J16" sqref="J16"/>
    </sheetView>
  </sheetViews>
  <sheetFormatPr defaultRowHeight="14.4" x14ac:dyDescent="0.3"/>
  <cols>
    <col min="5" max="5" width="15.88671875" bestFit="1" customWidth="1"/>
  </cols>
  <sheetData>
    <row r="2" spans="2:17" x14ac:dyDescent="0.3">
      <c r="B2" t="s">
        <v>42</v>
      </c>
    </row>
    <row r="3" spans="2:17" x14ac:dyDescent="0.3">
      <c r="N3" t="s">
        <v>36</v>
      </c>
      <c r="O3" t="s">
        <v>36</v>
      </c>
      <c r="P3" t="s">
        <v>37</v>
      </c>
      <c r="Q3" t="s">
        <v>37</v>
      </c>
    </row>
    <row r="4" spans="2:17" x14ac:dyDescent="0.3">
      <c r="D4" t="s">
        <v>34</v>
      </c>
    </row>
    <row r="5" spans="2:17" x14ac:dyDescent="0.3">
      <c r="D5" t="s">
        <v>31</v>
      </c>
      <c r="E5" t="s">
        <v>40</v>
      </c>
    </row>
    <row r="7" spans="2:17" x14ac:dyDescent="0.3">
      <c r="D7" t="s">
        <v>30</v>
      </c>
    </row>
    <row r="10" spans="2:17" x14ac:dyDescent="0.3">
      <c r="D10" t="s">
        <v>33</v>
      </c>
      <c r="K10" t="s">
        <v>38</v>
      </c>
    </row>
    <row r="11" spans="2:17" x14ac:dyDescent="0.3">
      <c r="D11" t="s">
        <v>4</v>
      </c>
      <c r="E11">
        <v>1</v>
      </c>
      <c r="G11" t="s">
        <v>18</v>
      </c>
    </row>
    <row r="13" spans="2:17" x14ac:dyDescent="0.3">
      <c r="D13" t="s">
        <v>5</v>
      </c>
      <c r="E13">
        <v>499.99999999999994</v>
      </c>
      <c r="G13" t="s">
        <v>16</v>
      </c>
      <c r="M13" t="s">
        <v>36</v>
      </c>
      <c r="N13" t="s">
        <v>36</v>
      </c>
      <c r="O13" t="s">
        <v>36</v>
      </c>
      <c r="P13" t="s">
        <v>36</v>
      </c>
    </row>
    <row r="15" spans="2:17" x14ac:dyDescent="0.3">
      <c r="D15" t="s">
        <v>15</v>
      </c>
      <c r="E15">
        <v>500</v>
      </c>
      <c r="G15" t="s">
        <v>16</v>
      </c>
    </row>
    <row r="18" spans="4:7" x14ac:dyDescent="0.3">
      <c r="D18" t="s">
        <v>32</v>
      </c>
    </row>
    <row r="19" spans="4:7" x14ac:dyDescent="0.3">
      <c r="D19" t="s">
        <v>0</v>
      </c>
      <c r="E19">
        <v>500</v>
      </c>
      <c r="G19" t="s">
        <v>24</v>
      </c>
    </row>
    <row r="21" spans="4:7" x14ac:dyDescent="0.3">
      <c r="D21" t="s">
        <v>2</v>
      </c>
      <c r="E21" t="s">
        <v>7</v>
      </c>
    </row>
    <row r="23" spans="4:7" x14ac:dyDescent="0.3">
      <c r="D23" t="s">
        <v>41</v>
      </c>
      <c r="E23">
        <v>7.4999999999999969E-2</v>
      </c>
      <c r="G2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Server</vt:lpstr>
      <vt:lpstr>Help &amp; Advice</vt:lpstr>
      <vt:lpstr>BackUp</vt:lpstr>
      <vt:lpstr>Flow_Type</vt:lpstr>
      <vt:lpstr>Inlet</vt:lpstr>
      <vt:lpstr>Length</vt:lpstr>
      <vt:lpstr>Opening</vt:lpstr>
      <vt:lpstr>Outlet</vt:lpstr>
      <vt:lpstr>Power</vt:lpstr>
      <vt:lpstr>Temperature_Change</vt:lpstr>
      <vt:lpstr>Volume_Flow_Rate</vt:lpstr>
      <vt:lpstr>Volume_Flow_Rate_Power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Wilson, John (Santa Clara)</cp:lastModifiedBy>
  <dcterms:created xsi:type="dcterms:W3CDTF">2015-10-22T23:27:37Z</dcterms:created>
  <dcterms:modified xsi:type="dcterms:W3CDTF">2015-11-11T22:21:16Z</dcterms:modified>
</cp:coreProperties>
</file>