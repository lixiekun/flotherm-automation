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batool\Desktop\examples_FloTHERM_fixed\FloXML\Spreadsheets\"/>
    </mc:Choice>
  </mc:AlternateContent>
  <bookViews>
    <workbookView xWindow="0" yWindow="0" windowWidth="23010" windowHeight="9510"/>
  </bookViews>
  <sheets>
    <sheet name="IGBT" sheetId="1" r:id="rId1"/>
    <sheet name="Help &amp; Advice" sheetId="2" r:id="rId2"/>
    <sheet name="OldData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</calcChain>
</file>

<file path=xl/comments1.xml><?xml version="1.0" encoding="utf-8"?>
<comments xmlns="http://schemas.openxmlformats.org/spreadsheetml/2006/main">
  <authors>
    <author>Falcini, Stefano</author>
  </authors>
  <commentList>
    <comment ref="B15" authorId="0" shapeId="0">
      <text>
        <r>
          <rPr>
            <b/>
            <sz val="12"/>
            <color indexed="81"/>
            <rFont val="Tahoma"/>
            <family val="2"/>
          </rPr>
          <t>IGBT Die:</t>
        </r>
        <r>
          <rPr>
            <sz val="12"/>
            <color indexed="81"/>
            <rFont val="Tahoma"/>
            <family val="2"/>
          </rPr>
          <t xml:space="preserve"> X and Z size and location values also apply to </t>
        </r>
        <r>
          <rPr>
            <b/>
            <sz val="12"/>
            <color indexed="81"/>
            <rFont val="Tahoma"/>
            <family val="2"/>
          </rPr>
          <t>Active Area</t>
        </r>
        <r>
          <rPr>
            <sz val="12"/>
            <color indexed="81"/>
            <rFont val="Tahoma"/>
            <family val="2"/>
          </rPr>
          <t xml:space="preserve"> and</t>
        </r>
        <r>
          <rPr>
            <b/>
            <sz val="12"/>
            <color indexed="81"/>
            <rFont val="Tahoma"/>
            <family val="2"/>
          </rPr>
          <t xml:space="preserve"> IGBT Solder</t>
        </r>
        <r>
          <rPr>
            <sz val="12"/>
            <color indexed="81"/>
            <rFont val="Tahoma"/>
            <family val="2"/>
          </rPr>
          <t xml:space="preserve"> sub assembies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0" shapeId="0">
      <text>
        <r>
          <rPr>
            <b/>
            <sz val="12"/>
            <color indexed="81"/>
            <rFont val="Tahoma"/>
            <family val="2"/>
          </rPr>
          <t>Surface Resistance:</t>
        </r>
        <r>
          <rPr>
            <sz val="12"/>
            <color indexed="81"/>
            <rFont val="Tahoma"/>
            <family val="2"/>
          </rPr>
          <t xml:space="preserve"> Applied to all Die surfaces</t>
        </r>
      </text>
    </comment>
    <comment ref="I19" authorId="0" shapeId="0">
      <text>
        <r>
          <rPr>
            <b/>
            <sz val="12"/>
            <color indexed="81"/>
            <rFont val="Tahoma"/>
            <family val="2"/>
          </rPr>
          <t>Inset:</t>
        </r>
        <r>
          <rPr>
            <sz val="12"/>
            <color indexed="81"/>
            <rFont val="Tahoma"/>
            <family val="2"/>
          </rPr>
          <t xml:space="preserve"> Distance from edge of die foot print</t>
        </r>
      </text>
    </comment>
    <comment ref="I20" authorId="0" shapeId="0">
      <text>
        <r>
          <rPr>
            <b/>
            <sz val="12"/>
            <color indexed="81"/>
            <rFont val="Tahoma"/>
            <family val="2"/>
          </rPr>
          <t>Offset:</t>
        </r>
        <r>
          <rPr>
            <sz val="12"/>
            <color indexed="81"/>
            <rFont val="Tahoma"/>
            <family val="2"/>
          </rPr>
          <t xml:space="preserve"> Distance from die upper surface</t>
        </r>
      </text>
    </comment>
    <comment ref="B24" authorId="0" shapeId="0">
      <text>
        <r>
          <rPr>
            <b/>
            <sz val="12"/>
            <color indexed="81"/>
            <rFont val="Tahoma"/>
            <family val="2"/>
          </rPr>
          <t>Substrate:</t>
        </r>
        <r>
          <rPr>
            <sz val="12"/>
            <color indexed="81"/>
            <rFont val="Tahoma"/>
            <family val="2"/>
          </rPr>
          <t xml:space="preserve"> X and Z size and location values also apply to the  </t>
        </r>
        <r>
          <rPr>
            <b/>
            <sz val="12"/>
            <color indexed="81"/>
            <rFont val="Tahoma"/>
            <family val="2"/>
          </rPr>
          <t>Upper</t>
        </r>
        <r>
          <rPr>
            <sz val="12"/>
            <color indexed="81"/>
            <rFont val="Tahoma"/>
            <family val="2"/>
          </rPr>
          <t xml:space="preserve"> , </t>
        </r>
        <r>
          <rPr>
            <b/>
            <sz val="12"/>
            <color indexed="81"/>
            <rFont val="Tahoma"/>
            <family val="2"/>
          </rPr>
          <t>Mid</t>
        </r>
        <r>
          <rPr>
            <sz val="12"/>
            <color indexed="81"/>
            <rFont val="Tahoma"/>
            <family val="2"/>
          </rPr>
          <t xml:space="preserve"> , </t>
        </r>
        <r>
          <rPr>
            <b/>
            <sz val="12"/>
            <color indexed="81"/>
            <rFont val="Tahoma"/>
            <family val="2"/>
          </rPr>
          <t xml:space="preserve">Lower </t>
        </r>
        <r>
          <rPr>
            <sz val="12"/>
            <color indexed="81"/>
            <rFont val="Tahoma"/>
            <family val="2"/>
          </rPr>
          <t xml:space="preserve">and </t>
        </r>
        <r>
          <rPr>
            <b/>
            <sz val="12"/>
            <color indexed="81"/>
            <rFont val="Tahoma"/>
            <family val="2"/>
          </rPr>
          <t>Solder</t>
        </r>
        <r>
          <rPr>
            <sz val="12"/>
            <color indexed="81"/>
            <rFont val="Tahoma"/>
            <family val="2"/>
          </rPr>
          <t xml:space="preserve"> sub assemblys.   
</t>
        </r>
      </text>
    </comment>
    <comment ref="B31" authorId="0" shapeId="0">
      <text>
        <r>
          <rPr>
            <b/>
            <sz val="12"/>
            <color indexed="81"/>
            <rFont val="Tahoma"/>
            <family val="2"/>
          </rPr>
          <t>Ceramic:</t>
        </r>
        <r>
          <rPr>
            <sz val="12"/>
            <color indexed="81"/>
            <rFont val="Tahoma"/>
            <family val="2"/>
          </rPr>
          <t xml:space="preserve"> X and Z size and location values also apply to the </t>
        </r>
        <r>
          <rPr>
            <b/>
            <sz val="12"/>
            <color indexed="81"/>
            <rFont val="Tahoma"/>
            <family val="2"/>
          </rPr>
          <t>Solder</t>
        </r>
        <r>
          <rPr>
            <sz val="12"/>
            <color indexed="81"/>
            <rFont val="Tahoma"/>
            <family val="2"/>
          </rPr>
          <t xml:space="preserve"> sub assembly </t>
        </r>
      </text>
    </comment>
    <comment ref="I35" authorId="0" shapeId="0">
      <text>
        <r>
          <rPr>
            <b/>
            <sz val="12"/>
            <color indexed="81"/>
            <rFont val="Tahoma"/>
            <family val="2"/>
          </rPr>
          <t>Notch:</t>
        </r>
        <r>
          <rPr>
            <b/>
            <sz val="9"/>
            <color indexed="81"/>
            <rFont val="Tahoma"/>
            <family val="2"/>
          </rPr>
          <t xml:space="preserve"> S</t>
        </r>
        <r>
          <rPr>
            <sz val="12"/>
            <color indexed="81"/>
            <rFont val="Tahoma"/>
            <family val="2"/>
          </rPr>
          <t>ymmetrical about the X and Z mid-planes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<sst xmlns="http://schemas.openxmlformats.org/spreadsheetml/2006/main" count="111" uniqueCount="60">
  <si>
    <t>IGBT Solder</t>
  </si>
  <si>
    <t>IGBT Die</t>
  </si>
  <si>
    <t>Resin</t>
  </si>
  <si>
    <t>Upper</t>
  </si>
  <si>
    <t>Mid</t>
  </si>
  <si>
    <t>Lower</t>
  </si>
  <si>
    <t>Solder</t>
  </si>
  <si>
    <t>Material</t>
  </si>
  <si>
    <t>Silicon</t>
  </si>
  <si>
    <t>Copper</t>
  </si>
  <si>
    <t>Solder-IGBT</t>
  </si>
  <si>
    <t>Active Area</t>
  </si>
  <si>
    <t>Substrate</t>
  </si>
  <si>
    <t>Baseplate</t>
  </si>
  <si>
    <t>Color</t>
  </si>
  <si>
    <t>Conductivity</t>
  </si>
  <si>
    <t>Coeff</t>
  </si>
  <si>
    <t>[°C]</t>
  </si>
  <si>
    <t xml:space="preserve">T-Ref </t>
  </si>
  <si>
    <t>[kg/m3]</t>
  </si>
  <si>
    <t xml:space="preserve">Density </t>
  </si>
  <si>
    <t>[J/kgK]</t>
  </si>
  <si>
    <t xml:space="preserve">Specific Heat </t>
  </si>
  <si>
    <t>[W/mK]</t>
  </si>
  <si>
    <r>
      <t>[W/mK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</si>
  <si>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t>Power [W]</t>
  </si>
  <si>
    <t>Ceramic</t>
  </si>
  <si>
    <t>AIN</t>
  </si>
  <si>
    <t>Cu-Solder-Upper</t>
  </si>
  <si>
    <t>Cu-Solder-Lower</t>
  </si>
  <si>
    <t>IGBT Definition</t>
  </si>
  <si>
    <t>Length Units:</t>
  </si>
  <si>
    <t>mm</t>
  </si>
  <si>
    <t>micron</t>
  </si>
  <si>
    <t>inch</t>
  </si>
  <si>
    <t>mil</t>
  </si>
  <si>
    <t>Cold Plate Backside Temperature [°C]:</t>
  </si>
  <si>
    <t>ColdPlate Definition</t>
  </si>
  <si>
    <t>X-size</t>
  </si>
  <si>
    <t>Y-size</t>
  </si>
  <si>
    <t>Z-size</t>
  </si>
  <si>
    <t>X-location:</t>
  </si>
  <si>
    <t>X-Z Inset:</t>
  </si>
  <si>
    <t>Y-Offset:</t>
  </si>
  <si>
    <t>FloSuite Path:</t>
  </si>
  <si>
    <r>
      <t>Baseplate to Cold Plate TIM [Km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/W]:</t>
    </r>
  </si>
  <si>
    <t>This spreadsheet is supplied to existing customers for use alongside FloTHERM Version 11.1 and above.</t>
  </si>
  <si>
    <t>Please read this webpage before contacting Mentor Graphics for support.</t>
  </si>
  <si>
    <t xml:space="preserve">It is provided under the terms described in </t>
  </si>
  <si>
    <t>https://supportnet.mentor.com/about/policies/custom-script-support.cfm</t>
  </si>
  <si>
    <t>Centered on Baseplate</t>
  </si>
  <si>
    <t>X-dir location:</t>
  </si>
  <si>
    <t>Location &amp; Attributes</t>
  </si>
  <si>
    <t>Notch</t>
  </si>
  <si>
    <t>User Input</t>
  </si>
  <si>
    <t>Resistance [Km2/W]:</t>
  </si>
  <si>
    <t>No Notch</t>
  </si>
  <si>
    <r>
      <t>Resistance [Km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>/W]:</t>
    </r>
  </si>
  <si>
    <t>Design:</t>
  </si>
  <si>
    <t>C:\Program Files (x86)\MentorMA\flosuite_v122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</si>
</sst>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CE4A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C2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14993743705557422"/>
      </left>
      <right style="thin">
        <color theme="1" tint="0.14993743705557422"/>
      </right>
      <top style="thin">
        <color theme="1" tint="0.14993743705557422"/>
      </top>
      <bottom style="thin">
        <color theme="1" tint="0.149937437055574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14993743705557422"/>
      </left>
      <right/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1" fillId="3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91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9" fillId="0" borderId="0" xfId="0" applyFont="1" applyAlignment="1"/>
    <xf numFmtId="0" fontId="9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Continuous"/>
    </xf>
    <xf numFmtId="0" fontId="9" fillId="7" borderId="0" xfId="0" applyFont="1" applyFill="1" applyAlignment="1">
      <alignment horizontal="centerContinuous"/>
    </xf>
    <xf numFmtId="0" fontId="0" fillId="7" borderId="0" xfId="0" applyFill="1" applyAlignment="1">
      <alignment horizontal="centerContinuous"/>
    </xf>
    <xf numFmtId="0" fontId="9" fillId="0" borderId="0" xfId="0" applyFont="1" applyAlignment="1">
      <alignment horizontal="centerContinuous"/>
    </xf>
    <xf numFmtId="0" fontId="2" fillId="5" borderId="11" xfId="2" applyFont="1" applyFill="1" applyBorder="1" applyAlignment="1">
      <alignment horizontal="center" vertical="center" wrapText="1"/>
    </xf>
    <xf numFmtId="0" fontId="2" fillId="5" borderId="12" xfId="2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11" fillId="0" borderId="0" xfId="0" applyNumberFormat="1" applyFont="1"/>
    <xf numFmtId="0" fontId="11" fillId="0" borderId="0" xfId="0" applyFont="1"/>
    <xf numFmtId="0" fontId="13" fillId="0" borderId="0" xfId="0" applyFont="1" applyAlignment="1">
      <alignment wrapText="1"/>
    </xf>
    <xf numFmtId="0" fontId="13" fillId="0" borderId="0" xfId="0" applyFont="1" applyAlignment="1"/>
    <xf numFmtId="0" fontId="14" fillId="0" borderId="0" xfId="3"/>
    <xf numFmtId="0" fontId="0" fillId="0" borderId="0" xfId="0" applyAlignment="1"/>
    <xf numFmtId="0" fontId="0" fillId="4" borderId="6" xfId="0" applyFill="1" applyBorder="1" applyAlignment="1" applyProtection="1">
      <alignment horizontal="center"/>
      <protection locked="0"/>
    </xf>
    <xf numFmtId="0" fontId="0" fillId="4" borderId="7" xfId="0" applyFill="1" applyBorder="1" applyAlignment="1" applyProtection="1">
      <alignment horizontal="center"/>
      <protection locked="0"/>
    </xf>
    <xf numFmtId="0" fontId="2" fillId="0" borderId="5" xfId="0" applyFont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6" borderId="2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10" borderId="2" xfId="0" applyFont="1" applyFill="1" applyBorder="1" applyAlignment="1" applyProtection="1">
      <alignment horizontal="center"/>
      <protection locked="0"/>
    </xf>
    <xf numFmtId="0" fontId="2" fillId="7" borderId="2" xfId="0" applyFont="1" applyFill="1" applyBorder="1" applyProtection="1">
      <protection locked="0"/>
    </xf>
    <xf numFmtId="0" fontId="5" fillId="7" borderId="4" xfId="0" applyFont="1" applyFill="1" applyBorder="1" applyAlignment="1" applyProtection="1">
      <alignment horizontal="center"/>
      <protection locked="0"/>
    </xf>
    <xf numFmtId="0" fontId="5" fillId="7" borderId="2" xfId="0" applyFont="1" applyFill="1" applyBorder="1" applyAlignment="1" applyProtection="1">
      <alignment horizontal="center"/>
      <protection locked="0"/>
    </xf>
    <xf numFmtId="0" fontId="5" fillId="8" borderId="2" xfId="0" applyFont="1" applyFill="1" applyBorder="1" applyAlignment="1" applyProtection="1">
      <alignment horizontal="center"/>
      <protection locked="0"/>
    </xf>
    <xf numFmtId="0" fontId="9" fillId="0" borderId="0" xfId="0" applyFont="1" applyAlignment="1">
      <alignment horizontal="right"/>
    </xf>
    <xf numFmtId="164" fontId="0" fillId="0" borderId="0" xfId="0" applyNumberFormat="1"/>
    <xf numFmtId="0" fontId="5" fillId="12" borderId="2" xfId="0" applyFont="1" applyFill="1" applyBorder="1" applyAlignment="1" applyProtection="1">
      <alignment horizontal="center"/>
      <protection locked="0"/>
    </xf>
    <xf numFmtId="0" fontId="5" fillId="13" borderId="2" xfId="0" applyFont="1" applyFill="1" applyBorder="1" applyAlignment="1" applyProtection="1">
      <alignment horizontal="center"/>
      <protection locked="0"/>
    </xf>
    <xf numFmtId="0" fontId="5" fillId="14" borderId="2" xfId="0" applyFont="1" applyFill="1" applyBorder="1" applyAlignment="1" applyProtection="1">
      <alignment horizontal="center"/>
      <protection locked="0"/>
    </xf>
    <xf numFmtId="0" fontId="5" fillId="15" borderId="2" xfId="0" applyFont="1" applyFill="1" applyBorder="1" applyAlignment="1" applyProtection="1">
      <alignment horizontal="center"/>
      <protection locked="0"/>
    </xf>
    <xf numFmtId="0" fontId="5" fillId="17" borderId="2" xfId="0" applyFont="1" applyFill="1" applyBorder="1" applyAlignment="1" applyProtection="1">
      <alignment horizontal="center"/>
      <protection locked="0"/>
    </xf>
    <xf numFmtId="0" fontId="10" fillId="16" borderId="5" xfId="0" applyNumberFormat="1" applyFont="1" applyFill="1" applyBorder="1" applyAlignment="1" applyProtection="1">
      <alignment horizontal="center"/>
      <protection locked="0"/>
    </xf>
    <xf numFmtId="2" fontId="2" fillId="0" borderId="0" xfId="0" applyNumberFormat="1" applyFont="1" applyAlignment="1">
      <alignment horizontal="right"/>
    </xf>
    <xf numFmtId="0" fontId="0" fillId="0" borderId="0" xfId="0"/>
    <xf numFmtId="0" fontId="6" fillId="18" borderId="6" xfId="2" applyFont="1" applyFill="1" applyBorder="1" applyAlignment="1">
      <alignment horizontal="center" vertical="center" wrapText="1"/>
    </xf>
    <xf numFmtId="0" fontId="15" fillId="11" borderId="6" xfId="0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right"/>
    </xf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Continuous" vertical="center"/>
    </xf>
    <xf numFmtId="0" fontId="0" fillId="0" borderId="0" xfId="0" applyFill="1" applyAlignment="1">
      <alignment horizontal="centerContinuous"/>
    </xf>
    <xf numFmtId="0" fontId="12" fillId="11" borderId="13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>
      <alignment horizontal="center" vertical="center"/>
    </xf>
    <xf numFmtId="0" fontId="15" fillId="2" borderId="13" xfId="1" applyFont="1" applyBorder="1" applyAlignment="1" applyProtection="1">
      <alignment horizontal="center"/>
      <protection locked="0"/>
    </xf>
    <xf numFmtId="0" fontId="1" fillId="2" borderId="13" xfId="1" applyFont="1" applyBorder="1" applyAlignment="1" applyProtection="1">
      <protection locked="0"/>
    </xf>
    <xf numFmtId="0" fontId="6" fillId="18" borderId="6" xfId="2" applyFont="1" applyFill="1" applyBorder="1" applyAlignment="1">
      <alignment horizontal="right" vertical="center" wrapText="1"/>
    </xf>
    <xf numFmtId="0" fontId="2" fillId="0" borderId="14" xfId="0" applyFont="1" applyFill="1" applyBorder="1" applyAlignment="1">
      <alignment horizontal="center" vertical="center"/>
    </xf>
    <xf numFmtId="11" fontId="0" fillId="4" borderId="13" xfId="0" applyNumberFormat="1" applyFont="1" applyFill="1" applyBorder="1" applyAlignment="1" applyProtection="1">
      <alignment vertical="center"/>
      <protection locked="0"/>
    </xf>
    <xf numFmtId="0" fontId="0" fillId="0" borderId="0" xfId="0"/>
    <xf numFmtId="0" fontId="9" fillId="0" borderId="0" xfId="0" applyFont="1" applyFill="1" applyBorder="1" applyAlignment="1">
      <alignment horizontal="left"/>
    </xf>
    <xf numFmtId="0" fontId="6" fillId="7" borderId="15" xfId="2" applyFont="1" applyFill="1" applyBorder="1" applyAlignment="1">
      <alignment vertical="center"/>
    </xf>
    <xf numFmtId="0" fontId="6" fillId="7" borderId="0" xfId="2" applyFont="1" applyFill="1" applyBorder="1" applyAlignment="1">
      <alignment vertical="center" wrapText="1"/>
    </xf>
    <xf numFmtId="0" fontId="15" fillId="11" borderId="17" xfId="0" applyFont="1" applyFill="1" applyBorder="1" applyAlignment="1" applyProtection="1">
      <alignment horizontal="center"/>
      <protection locked="0"/>
    </xf>
    <xf numFmtId="0" fontId="0" fillId="8" borderId="17" xfId="0" applyFill="1" applyBorder="1" applyAlignment="1" applyProtection="1">
      <alignment horizontal="center"/>
      <protection locked="0"/>
    </xf>
    <xf numFmtId="0" fontId="6" fillId="7" borderId="16" xfId="2" applyFont="1" applyFill="1" applyBorder="1" applyAlignment="1">
      <alignment vertical="center" wrapText="1"/>
    </xf>
    <xf numFmtId="0" fontId="6" fillId="18" borderId="18" xfId="2" applyFont="1" applyFill="1" applyBorder="1" applyAlignment="1">
      <alignment horizontal="right" vertical="center" wrapText="1"/>
    </xf>
    <xf numFmtId="0" fontId="0" fillId="4" borderId="13" xfId="0" applyFill="1" applyBorder="1" applyAlignment="1" applyProtection="1">
      <alignment horizontal="center"/>
      <protection locked="0"/>
    </xf>
    <xf numFmtId="0" fontId="6" fillId="18" borderId="13" xfId="0" applyFont="1" applyFill="1" applyBorder="1" applyAlignment="1">
      <alignment horizontal="right"/>
    </xf>
    <xf numFmtId="0" fontId="6" fillId="18" borderId="11" xfId="2" applyFont="1" applyFill="1" applyBorder="1" applyAlignment="1">
      <alignment horizontal="right" vertical="center" wrapText="1"/>
    </xf>
    <xf numFmtId="0" fontId="6" fillId="18" borderId="13" xfId="2" applyFont="1" applyFill="1" applyBorder="1" applyAlignment="1">
      <alignment horizontal="right" vertical="center"/>
    </xf>
    <xf numFmtId="0" fontId="20" fillId="7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/>
    <xf numFmtId="0" fontId="6" fillId="18" borderId="13" xfId="2" applyFont="1" applyFill="1" applyBorder="1" applyAlignment="1">
      <alignment horizontal="right" vertical="center" wrapText="1"/>
    </xf>
    <xf numFmtId="0" fontId="6" fillId="18" borderId="13" xfId="0" applyFont="1" applyFill="1" applyBorder="1" applyAlignment="1">
      <alignment horizontal="right" vertical="center"/>
    </xf>
    <xf numFmtId="0" fontId="0" fillId="4" borderId="1" xfId="1" applyFont="1" applyFill="1" applyAlignment="1" applyProtection="1">
      <alignment horizontal="left"/>
      <protection locked="0"/>
    </xf>
    <xf numFmtId="11" fontId="1" fillId="4" borderId="13" xfId="1" applyNumberFormat="1" applyFont="1" applyFill="1" applyBorder="1" applyAlignment="1" applyProtection="1">
      <alignment horizontal="left"/>
      <protection locked="0"/>
    </xf>
    <xf numFmtId="0" fontId="1" fillId="4" borderId="13" xfId="1" applyFont="1" applyFill="1" applyBorder="1" applyAlignment="1" applyProtection="1">
      <alignment horizontal="left"/>
      <protection locked="0"/>
    </xf>
    <xf numFmtId="0" fontId="2" fillId="5" borderId="11" xfId="2" applyFont="1" applyFill="1" applyBorder="1" applyAlignment="1">
      <alignment horizontal="center" vertical="center" wrapText="1"/>
    </xf>
    <xf numFmtId="0" fontId="2" fillId="5" borderId="12" xfId="2" applyFont="1" applyFill="1" applyBorder="1" applyAlignment="1">
      <alignment horizontal="center" vertical="center" wrapText="1"/>
    </xf>
    <xf numFmtId="0" fontId="7" fillId="9" borderId="8" xfId="2" applyFont="1" applyFill="1" applyBorder="1" applyAlignment="1">
      <alignment horizontal="center" vertical="center" wrapText="1"/>
    </xf>
    <xf numFmtId="0" fontId="7" fillId="9" borderId="10" xfId="2" applyFont="1" applyFill="1" applyBorder="1" applyAlignment="1">
      <alignment horizontal="center" vertical="center" wrapText="1"/>
    </xf>
    <xf numFmtId="0" fontId="7" fillId="9" borderId="9" xfId="2" applyFont="1" applyFill="1" applyBorder="1" applyAlignment="1">
      <alignment horizontal="center" vertical="center" wrapText="1"/>
    </xf>
    <xf numFmtId="0" fontId="6" fillId="18" borderId="8" xfId="0" applyFont="1" applyFill="1" applyBorder="1" applyAlignment="1">
      <alignment horizontal="center" vertical="center"/>
    </xf>
    <xf numFmtId="0" fontId="6" fillId="18" borderId="9" xfId="0" applyFont="1" applyFill="1" applyBorder="1" applyAlignment="1">
      <alignment horizontal="center" vertical="center"/>
    </xf>
    <xf numFmtId="0" fontId="4" fillId="4" borderId="13" xfId="1" applyFont="1" applyFill="1" applyBorder="1" applyAlignment="1" applyProtection="1">
      <alignment horizontal="left"/>
      <protection locked="0"/>
    </xf>
    <xf numFmtId="0" fontId="0" fillId="0" borderId="0" xfId="0"/>
  </cellXfs>
  <cellStyles count="4">
    <cellStyle name="20% - Accent1" xfId="2" builtinId="30"/>
    <cellStyle name="Hyperlink" xfId="3" builtinId="8"/>
    <cellStyle name="Normal" xfId="0" builtinId="0"/>
    <cellStyle name="Note" xfId="1" builtinId="10"/>
  </cellStyles>
  <dxfs count="8">
    <dxf>
      <numFmt numFmtId="165" formatCode=";;;"/>
      <fill>
        <patternFill patternType="gray0625">
          <fgColor theme="4"/>
        </patternFill>
      </fill>
    </dxf>
    <dxf>
      <numFmt numFmtId="165" formatCode=";;;"/>
      <fill>
        <patternFill patternType="gray0625">
          <fgColor theme="4"/>
        </patternFill>
      </fill>
    </dxf>
    <dxf>
      <numFmt numFmtId="165" formatCode=";;;"/>
      <fill>
        <patternFill patternType="gray0625">
          <fgColor theme="4"/>
          <bgColor theme="0"/>
        </patternFill>
      </fill>
    </dxf>
    <dxf>
      <numFmt numFmtId="165" formatCode=";;;"/>
    </dxf>
    <dxf>
      <numFmt numFmtId="165" formatCode=";;;"/>
      <fill>
        <patternFill patternType="solid"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1" tint="0.24994659260841701"/>
        </top>
        <bottom style="thin">
          <color theme="0"/>
        </bottom>
        <vertical/>
        <horizontal/>
      </border>
    </dxf>
    <dxf>
      <numFmt numFmtId="165" formatCode=";;;"/>
      <fill>
        <patternFill patternType="gray0625">
          <fgColor theme="4"/>
          <bgColor theme="0"/>
        </patternFill>
      </fill>
    </dxf>
    <dxf>
      <numFmt numFmtId="165" formatCode=";;;"/>
      <fill>
        <patternFill patternType="gray0625">
          <fgColor theme="4"/>
          <bgColor theme="0"/>
        </patternFill>
      </fill>
    </dxf>
    <dxf>
      <numFmt numFmtId="165" formatCode=";;;"/>
      <fill>
        <patternFill patternType="gray0625">
          <fgColor theme="4"/>
          <bgColor theme="0"/>
        </patternFill>
      </fill>
    </dxf>
  </dxfs>
  <tableStyles count="0" defaultTableStyle="TableStyleMedium2" defaultPivotStyle="PivotStyleLight16"/>
  <colors>
    <mruColors>
      <color rgb="FFFFFFCC"/>
      <color rgb="FFBDC4B4"/>
      <color rgb="FFFEC200"/>
      <color rgb="FFDEC17A"/>
      <color rgb="FFECE4AC"/>
      <color rgb="FF829BAE"/>
      <color rgb="FFC9B897"/>
      <color rgb="FFC7BE9D"/>
      <color rgb="FFF0F0F0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1008526</xdr:colOff>
      <xdr:row>39</xdr:row>
      <xdr:rowOff>70707</xdr:rowOff>
    </xdr:from>
    <xdr:to>
      <xdr:col>6</xdr:col>
      <xdr:colOff>313762</xdr:colOff>
      <xdr:row>41</xdr:row>
      <xdr:rowOff>43589</xdr:rowOff>
    </xdr:to>
    <xdr:sp macro="[0]!Main" textlink="">
      <xdr:nvSpPr>
        <xdr:cNvPr id="2" name="FloXML Button"/>
        <xdr:cNvSpPr/>
      </xdr:nvSpPr>
      <xdr:spPr>
        <a:xfrm>
          <a:off x="2294401" y="6700107"/>
          <a:ext cx="2115111" cy="31578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Save and Load into FloTHERM</a:t>
          </a:r>
        </a:p>
      </xdr:txBody>
    </xdr:sp>
    <xdr:clientData fLocksWithSheet="0"/>
  </xdr:twoCellAnchor>
  <xdr:twoCellAnchor>
    <xdr:from>
      <xdr:col>12</xdr:col>
      <xdr:colOff>304800</xdr:colOff>
      <xdr:row>15</xdr:row>
      <xdr:rowOff>34925</xdr:rowOff>
    </xdr:from>
    <xdr:to>
      <xdr:col>15</xdr:col>
      <xdr:colOff>104775</xdr:colOff>
      <xdr:row>36</xdr:row>
      <xdr:rowOff>15875</xdr:rowOff>
    </xdr:to>
    <xdr:grpSp>
      <xdr:nvGrpSpPr>
        <xdr:cNvPr id="11" name="Frame"/>
        <xdr:cNvGrpSpPr/>
      </xdr:nvGrpSpPr>
      <xdr:grpSpPr>
        <a:xfrm>
          <a:off x="7829550" y="2690019"/>
          <a:ext cx="2383631" cy="3529012"/>
          <a:chOff x="-2019489" y="11743946162608"/>
          <a:chExt cx="4040592" cy="26937772615503"/>
        </a:xfrm>
      </xdr:grpSpPr>
      <xdr:sp macro="" textlink="">
        <xdr:nvSpPr>
          <xdr:cNvPr id="4" name="IGBT Frame"/>
          <xdr:cNvSpPr/>
        </xdr:nvSpPr>
        <xdr:spPr>
          <a:xfrm>
            <a:off x="-2019489" y="11743946162608"/>
            <a:ext cx="4040592" cy="26937772615503"/>
          </a:xfrm>
          <a:prstGeom prst="rect">
            <a:avLst/>
          </a:prstGeom>
          <a:solidFill>
            <a:srgbClr val="FEC200"/>
          </a:solidFill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Notch-2" hidden="1"/>
          <xdr:cNvSpPr/>
        </xdr:nvSpPr>
        <xdr:spPr>
          <a:xfrm>
            <a:off x="-2019489" y="16706167433885"/>
            <a:ext cx="484871" cy="17013330072949"/>
          </a:xfrm>
          <a:prstGeom prst="rect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Notch-1" hidden="1"/>
          <xdr:cNvSpPr/>
        </xdr:nvSpPr>
        <xdr:spPr>
          <a:xfrm>
            <a:off x="1536232" y="16706167433885"/>
            <a:ext cx="484871" cy="1701333007294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304800</xdr:colOff>
      <xdr:row>18</xdr:row>
      <xdr:rowOff>149225</xdr:rowOff>
    </xdr:from>
    <xdr:to>
      <xdr:col>15</xdr:col>
      <xdr:colOff>104775</xdr:colOff>
      <xdr:row>32</xdr:row>
      <xdr:rowOff>34925</xdr:rowOff>
    </xdr:to>
    <xdr:sp macro="" textlink="">
      <xdr:nvSpPr>
        <xdr:cNvPr id="8" name="Resin"/>
        <xdr:cNvSpPr/>
      </xdr:nvSpPr>
      <xdr:spPr>
        <a:xfrm>
          <a:off x="7810500" y="3397250"/>
          <a:ext cx="2381250" cy="2286000"/>
        </a:xfrm>
        <a:prstGeom prst="rect">
          <a:avLst/>
        </a:prstGeom>
        <a:solidFill>
          <a:srgbClr val="D0CECE">
            <a:alpha val="60000"/>
          </a:srgbClr>
        </a:solidFill>
        <a:ln w="9525">
          <a:solidFill>
            <a:schemeClr val="tx1">
              <a:lumMod val="75000"/>
              <a:lumOff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757238</xdr:colOff>
      <xdr:row>22</xdr:row>
      <xdr:rowOff>1588</xdr:rowOff>
    </xdr:from>
    <xdr:to>
      <xdr:col>14</xdr:col>
      <xdr:colOff>376238</xdr:colOff>
      <xdr:row>29</xdr:row>
      <xdr:rowOff>11113</xdr:rowOff>
    </xdr:to>
    <xdr:sp macro="" textlink="">
      <xdr:nvSpPr>
        <xdr:cNvPr id="7" name="Iso"/>
        <xdr:cNvSpPr/>
      </xdr:nvSpPr>
      <xdr:spPr>
        <a:xfrm>
          <a:off x="8262938" y="3935413"/>
          <a:ext cx="1619250" cy="1209675"/>
        </a:xfrm>
        <a:prstGeom prst="rect">
          <a:avLst/>
        </a:prstGeom>
        <a:solidFill>
          <a:srgbClr val="8497B0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52388</xdr:colOff>
      <xdr:row>22</xdr:row>
      <xdr:rowOff>1588</xdr:rowOff>
    </xdr:from>
    <xdr:to>
      <xdr:col>14</xdr:col>
      <xdr:colOff>376238</xdr:colOff>
      <xdr:row>29</xdr:row>
      <xdr:rowOff>11113</xdr:rowOff>
    </xdr:to>
    <xdr:sp macro="" textlink="">
      <xdr:nvSpPr>
        <xdr:cNvPr id="9" name="Substrate"/>
        <xdr:cNvSpPr/>
      </xdr:nvSpPr>
      <xdr:spPr>
        <a:xfrm>
          <a:off x="8739188" y="3935413"/>
          <a:ext cx="1143000" cy="1209675"/>
        </a:xfrm>
        <a:prstGeom prst="rect">
          <a:avLst/>
        </a:prstGeom>
        <a:solidFill>
          <a:srgbClr val="ECE4AC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366713</xdr:colOff>
      <xdr:row>22</xdr:row>
      <xdr:rowOff>58738</xdr:rowOff>
    </xdr:from>
    <xdr:to>
      <xdr:col>14</xdr:col>
      <xdr:colOff>214313</xdr:colOff>
      <xdr:row>28</xdr:row>
      <xdr:rowOff>125413</xdr:rowOff>
    </xdr:to>
    <xdr:sp macro="" textlink="">
      <xdr:nvSpPr>
        <xdr:cNvPr id="10" name="Die"/>
        <xdr:cNvSpPr/>
      </xdr:nvSpPr>
      <xdr:spPr>
        <a:xfrm>
          <a:off x="9053513" y="3992563"/>
          <a:ext cx="666750" cy="1095375"/>
        </a:xfrm>
        <a:prstGeom prst="rect">
          <a:avLst/>
        </a:prstGeom>
        <a:solidFill>
          <a:srgbClr val="E7E6E6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461963</xdr:colOff>
      <xdr:row>22</xdr:row>
      <xdr:rowOff>153988</xdr:rowOff>
    </xdr:from>
    <xdr:to>
      <xdr:col>14</xdr:col>
      <xdr:colOff>119063</xdr:colOff>
      <xdr:row>28</xdr:row>
      <xdr:rowOff>30163</xdr:rowOff>
    </xdr:to>
    <xdr:sp macro="" textlink="">
      <xdr:nvSpPr>
        <xdr:cNvPr id="12" name="Active Area"/>
        <xdr:cNvSpPr/>
      </xdr:nvSpPr>
      <xdr:spPr>
        <a:xfrm>
          <a:off x="9148763" y="4087813"/>
          <a:ext cx="476250" cy="904875"/>
        </a:xfrm>
        <a:prstGeom prst="rect">
          <a:avLst/>
        </a:prstGeom>
        <a:solidFill>
          <a:srgbClr val="AF9664"/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12</xdr:col>
      <xdr:colOff>73317</xdr:colOff>
      <xdr:row>27</xdr:row>
      <xdr:rowOff>25191</xdr:rowOff>
    </xdr:from>
    <xdr:to>
      <xdr:col>13</xdr:col>
      <xdr:colOff>261342</xdr:colOff>
      <xdr:row>35</xdr:row>
      <xdr:rowOff>162108</xdr:rowOff>
    </xdr:to>
    <xdr:grpSp>
      <xdr:nvGrpSpPr>
        <xdr:cNvPr id="26" name="Group 25"/>
        <xdr:cNvGrpSpPr/>
      </xdr:nvGrpSpPr>
      <xdr:grpSpPr>
        <a:xfrm>
          <a:off x="7598067" y="4728160"/>
          <a:ext cx="1366744" cy="1470417"/>
          <a:chOff x="6472881" y="-284046"/>
          <a:chExt cx="1509325" cy="1348101"/>
        </a:xfrm>
      </xdr:grpSpPr>
      <xdr:cxnSp macro="">
        <xdr:nvCxnSpPr>
          <xdr:cNvPr id="20" name="Horizontal Coord"/>
          <xdr:cNvCxnSpPr/>
        </xdr:nvCxnSpPr>
        <xdr:spPr>
          <a:xfrm>
            <a:off x="6472881" y="1010935"/>
            <a:ext cx="1378225" cy="4447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Vertical Coord"/>
          <xdr:cNvCxnSpPr/>
        </xdr:nvCxnSpPr>
        <xdr:spPr>
          <a:xfrm flipV="1">
            <a:off x="6487151" y="-267464"/>
            <a:ext cx="1858" cy="1291594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4" name="TextBox 23"/>
          <xdr:cNvSpPr txBox="1"/>
        </xdr:nvSpPr>
        <xdr:spPr>
          <a:xfrm>
            <a:off x="7655635" y="693941"/>
            <a:ext cx="326571" cy="370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X</a:t>
            </a:r>
          </a:p>
        </xdr:txBody>
      </xdr:sp>
      <xdr:sp macro="" textlink="">
        <xdr:nvSpPr>
          <xdr:cNvPr id="25" name="TextBox 24"/>
          <xdr:cNvSpPr txBox="1"/>
        </xdr:nvSpPr>
        <xdr:spPr>
          <a:xfrm>
            <a:off x="6483875" y="-284046"/>
            <a:ext cx="283028" cy="3156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Z</a:t>
            </a:r>
          </a:p>
        </xdr:txBody>
      </xdr:sp>
    </xdr:grpSp>
    <xdr:clientData/>
  </xdr:twoCellAnchor>
  <xdr:twoCellAnchor>
    <xdr:from>
      <xdr:col>0</xdr:col>
      <xdr:colOff>286731</xdr:colOff>
      <xdr:row>11</xdr:row>
      <xdr:rowOff>95249</xdr:rowOff>
    </xdr:from>
    <xdr:to>
      <xdr:col>10</xdr:col>
      <xdr:colOff>99660</xdr:colOff>
      <xdr:row>36</xdr:row>
      <xdr:rowOff>95250</xdr:rowOff>
    </xdr:to>
    <xdr:grpSp>
      <xdr:nvGrpSpPr>
        <xdr:cNvPr id="3" name="Group 2"/>
        <xdr:cNvGrpSpPr/>
      </xdr:nvGrpSpPr>
      <xdr:grpSpPr>
        <a:xfrm>
          <a:off x="286731" y="2047874"/>
          <a:ext cx="6861429" cy="4250532"/>
          <a:chOff x="286731" y="2057399"/>
          <a:chExt cx="6823329" cy="4343401"/>
        </a:xfrm>
      </xdr:grpSpPr>
      <xdr:sp macro="" textlink="">
        <xdr:nvSpPr>
          <xdr:cNvPr id="19" name="Rectangle 18"/>
          <xdr:cNvSpPr/>
        </xdr:nvSpPr>
        <xdr:spPr>
          <a:xfrm>
            <a:off x="286731" y="2425233"/>
            <a:ext cx="6823329" cy="1527642"/>
          </a:xfrm>
          <a:prstGeom prst="rect">
            <a:avLst/>
          </a:prstGeom>
          <a:noFill/>
          <a:ln w="28575">
            <a:solidFill>
              <a:schemeClr val="bg2">
                <a:lumMod val="5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7" name="Rectangle 26"/>
          <xdr:cNvSpPr/>
        </xdr:nvSpPr>
        <xdr:spPr>
          <a:xfrm>
            <a:off x="287918" y="2057399"/>
            <a:ext cx="6822142" cy="327773"/>
          </a:xfrm>
          <a:prstGeom prst="rect">
            <a:avLst/>
          </a:prstGeom>
          <a:noFill/>
          <a:ln w="28575">
            <a:solidFill>
              <a:schemeClr val="accent3">
                <a:lumMod val="60000"/>
                <a:lumOff val="4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0000"/>
              </a:solidFill>
            </a:endParaRPr>
          </a:p>
        </xdr:txBody>
      </xdr:sp>
      <xdr:sp macro="" textlink="">
        <xdr:nvSpPr>
          <xdr:cNvPr id="28" name="Rectangle 27"/>
          <xdr:cNvSpPr/>
        </xdr:nvSpPr>
        <xdr:spPr>
          <a:xfrm>
            <a:off x="286731" y="5910765"/>
            <a:ext cx="6823329" cy="490035"/>
          </a:xfrm>
          <a:prstGeom prst="rect">
            <a:avLst/>
          </a:prstGeom>
          <a:noFill/>
          <a:ln w="28575">
            <a:solidFill>
              <a:srgbClr val="E2AC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>
              <a:solidFill>
                <a:srgbClr val="FF0000"/>
              </a:solidFill>
            </a:endParaRPr>
          </a:p>
        </xdr:txBody>
      </xdr:sp>
      <xdr:sp macro="" textlink="">
        <xdr:nvSpPr>
          <xdr:cNvPr id="29" name="Rectangle 28"/>
          <xdr:cNvSpPr/>
        </xdr:nvSpPr>
        <xdr:spPr>
          <a:xfrm>
            <a:off x="286731" y="4013949"/>
            <a:ext cx="6823329" cy="1164290"/>
          </a:xfrm>
          <a:prstGeom prst="rect">
            <a:avLst/>
          </a:prstGeom>
          <a:noFill/>
          <a:ln w="28575">
            <a:solidFill>
              <a:srgbClr val="FFC0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0000"/>
              </a:solidFill>
            </a:endParaRPr>
          </a:p>
        </xdr:txBody>
      </xdr:sp>
      <xdr:sp macro="" textlink="">
        <xdr:nvSpPr>
          <xdr:cNvPr id="30" name="Rectangle 29"/>
          <xdr:cNvSpPr/>
        </xdr:nvSpPr>
        <xdr:spPr>
          <a:xfrm>
            <a:off x="286731" y="5240992"/>
            <a:ext cx="6823329" cy="614081"/>
          </a:xfrm>
          <a:prstGeom prst="rect">
            <a:avLst/>
          </a:prstGeom>
          <a:noFill/>
          <a:ln w="28575">
            <a:solidFill>
              <a:schemeClr val="tx2">
                <a:lumMod val="60000"/>
                <a:lumOff val="4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0000"/>
              </a:solidFill>
            </a:endParaRPr>
          </a:p>
        </xdr:txBody>
      </xdr:sp>
    </xdr:grpSp>
    <xdr:clientData/>
  </xdr:twoCellAnchor>
  <xdr:twoCellAnchor editAs="absolute">
    <xdr:from>
      <xdr:col>12</xdr:col>
      <xdr:colOff>105335</xdr:colOff>
      <xdr:row>37</xdr:row>
      <xdr:rowOff>4932</xdr:rowOff>
    </xdr:from>
    <xdr:to>
      <xdr:col>13</xdr:col>
      <xdr:colOff>489473</xdr:colOff>
      <xdr:row>38</xdr:row>
      <xdr:rowOff>126090</xdr:rowOff>
    </xdr:to>
    <xdr:sp macro="" textlink="">
      <xdr:nvSpPr>
        <xdr:cNvPr id="22" name="TextBox 21"/>
        <xdr:cNvSpPr txBox="1"/>
      </xdr:nvSpPr>
      <xdr:spPr>
        <a:xfrm>
          <a:off x="7830110" y="6481932"/>
          <a:ext cx="1593813" cy="292608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/>
            <a:t>Top View</a:t>
          </a:r>
        </a:p>
      </xdr:txBody>
    </xdr:sp>
    <xdr:clientData/>
  </xdr:twoCellAnchor>
  <xdr:twoCellAnchor editAs="absolute">
    <xdr:from>
      <xdr:col>16</xdr:col>
      <xdr:colOff>349250</xdr:colOff>
      <xdr:row>37</xdr:row>
      <xdr:rowOff>98425</xdr:rowOff>
    </xdr:from>
    <xdr:to>
      <xdr:col>18</xdr:col>
      <xdr:colOff>623039</xdr:colOff>
      <xdr:row>39</xdr:row>
      <xdr:rowOff>59272</xdr:rowOff>
    </xdr:to>
    <xdr:sp macro="" textlink="">
      <xdr:nvSpPr>
        <xdr:cNvPr id="33" name="Text-Cross"/>
        <xdr:cNvSpPr txBox="1"/>
      </xdr:nvSpPr>
      <xdr:spPr>
        <a:xfrm>
          <a:off x="10826750" y="6604000"/>
          <a:ext cx="1635864" cy="303747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/>
            <a:t>Stack-up</a:t>
          </a:r>
          <a:r>
            <a:rPr lang="en-US" sz="1200" baseline="0"/>
            <a:t> View</a:t>
          </a:r>
          <a:endParaRPr lang="en-US" sz="1200"/>
        </a:p>
      </xdr:txBody>
    </xdr:sp>
    <xdr:clientData/>
  </xdr:twoCellAnchor>
  <xdr:twoCellAnchor>
    <xdr:from>
      <xdr:col>17</xdr:col>
      <xdr:colOff>69850</xdr:colOff>
      <xdr:row>23</xdr:row>
      <xdr:rowOff>22225</xdr:rowOff>
    </xdr:from>
    <xdr:to>
      <xdr:col>20</xdr:col>
      <xdr:colOff>127000</xdr:colOff>
      <xdr:row>32</xdr:row>
      <xdr:rowOff>66675</xdr:rowOff>
    </xdr:to>
    <xdr:sp macro="" textlink="">
      <xdr:nvSpPr>
        <xdr:cNvPr id="44" name="Side-Resin"/>
        <xdr:cNvSpPr/>
      </xdr:nvSpPr>
      <xdr:spPr>
        <a:xfrm>
          <a:off x="11080750" y="4127500"/>
          <a:ext cx="2286000" cy="1587500"/>
        </a:xfrm>
        <a:prstGeom prst="rect">
          <a:avLst/>
        </a:prstGeom>
        <a:solidFill>
          <a:srgbClr val="D0CECE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2">
                  <a:lumMod val="25000"/>
                </a:schemeClr>
              </a:solidFill>
            </a:rPr>
            <a:t>Resin</a:t>
          </a:r>
        </a:p>
      </xdr:txBody>
    </xdr:sp>
    <xdr:clientData/>
  </xdr:twoCellAnchor>
  <xdr:twoCellAnchor>
    <xdr:from>
      <xdr:col>16</xdr:col>
      <xdr:colOff>349250</xdr:colOff>
      <xdr:row>32</xdr:row>
      <xdr:rowOff>66675</xdr:rowOff>
    </xdr:from>
    <xdr:to>
      <xdr:col>20</xdr:col>
      <xdr:colOff>127000</xdr:colOff>
      <xdr:row>36</xdr:row>
      <xdr:rowOff>15875</xdr:rowOff>
    </xdr:to>
    <xdr:sp macro="" textlink="">
      <xdr:nvSpPr>
        <xdr:cNvPr id="23" name="Side-BasePlate"/>
        <xdr:cNvSpPr/>
      </xdr:nvSpPr>
      <xdr:spPr>
        <a:xfrm>
          <a:off x="10826750" y="5715000"/>
          <a:ext cx="2540000" cy="635000"/>
        </a:xfrm>
        <a:prstGeom prst="rect">
          <a:avLst/>
        </a:prstGeom>
        <a:solidFill>
          <a:srgbClr val="FEC20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400" b="1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rPr>
            <a:t>Baseplate</a:t>
          </a:r>
        </a:p>
      </xdr:txBody>
    </xdr:sp>
    <xdr:clientData/>
  </xdr:twoCellAnchor>
  <xdr:twoCellAnchor>
    <xdr:from>
      <xdr:col>17</xdr:col>
      <xdr:colOff>323850</xdr:colOff>
      <xdr:row>32</xdr:row>
      <xdr:rowOff>28575</xdr:rowOff>
    </xdr:from>
    <xdr:to>
      <xdr:col>20</xdr:col>
      <xdr:colOff>127000</xdr:colOff>
      <xdr:row>32</xdr:row>
      <xdr:rowOff>66675</xdr:rowOff>
    </xdr:to>
    <xdr:sp macro="" textlink="">
      <xdr:nvSpPr>
        <xdr:cNvPr id="37" name="Side-Solder Iso"/>
        <xdr:cNvSpPr/>
      </xdr:nvSpPr>
      <xdr:spPr>
        <a:xfrm>
          <a:off x="11334750" y="5676900"/>
          <a:ext cx="2032000" cy="38100"/>
        </a:xfrm>
        <a:prstGeom prst="rect">
          <a:avLst/>
        </a:prstGeom>
        <a:solidFill>
          <a:srgbClr val="F4B084"/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323850</xdr:colOff>
      <xdr:row>31</xdr:row>
      <xdr:rowOff>34925</xdr:rowOff>
    </xdr:from>
    <xdr:to>
      <xdr:col>20</xdr:col>
      <xdr:colOff>127000</xdr:colOff>
      <xdr:row>32</xdr:row>
      <xdr:rowOff>34231</xdr:rowOff>
    </xdr:to>
    <xdr:sp macro="" textlink="">
      <xdr:nvSpPr>
        <xdr:cNvPr id="34" name="Side-ISO"/>
        <xdr:cNvSpPr/>
      </xdr:nvSpPr>
      <xdr:spPr>
        <a:xfrm>
          <a:off x="11334750" y="5511800"/>
          <a:ext cx="2032000" cy="170756"/>
        </a:xfrm>
        <a:prstGeom prst="rect">
          <a:avLst/>
        </a:prstGeom>
        <a:solidFill>
          <a:srgbClr val="8497B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3175</xdr:colOff>
      <xdr:row>30</xdr:row>
      <xdr:rowOff>168275</xdr:rowOff>
    </xdr:from>
    <xdr:to>
      <xdr:col>20</xdr:col>
      <xdr:colOff>127000</xdr:colOff>
      <xdr:row>31</xdr:row>
      <xdr:rowOff>34925</xdr:rowOff>
    </xdr:to>
    <xdr:sp macro="" textlink="">
      <xdr:nvSpPr>
        <xdr:cNvPr id="38" name="Side-Substrate Solder"/>
        <xdr:cNvSpPr/>
      </xdr:nvSpPr>
      <xdr:spPr>
        <a:xfrm>
          <a:off x="11842750" y="5473700"/>
          <a:ext cx="1524000" cy="38100"/>
        </a:xfrm>
        <a:prstGeom prst="rect">
          <a:avLst/>
        </a:prstGeom>
        <a:solidFill>
          <a:srgbClr val="F4B084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3175</xdr:colOff>
      <xdr:row>30</xdr:row>
      <xdr:rowOff>130175</xdr:rowOff>
    </xdr:from>
    <xdr:to>
      <xdr:col>20</xdr:col>
      <xdr:colOff>127000</xdr:colOff>
      <xdr:row>30</xdr:row>
      <xdr:rowOff>168275</xdr:rowOff>
    </xdr:to>
    <xdr:sp macro="" textlink="">
      <xdr:nvSpPr>
        <xdr:cNvPr id="41" name="Side-Substrate Lower"/>
        <xdr:cNvSpPr/>
      </xdr:nvSpPr>
      <xdr:spPr>
        <a:xfrm>
          <a:off x="11842750" y="5435600"/>
          <a:ext cx="1524000" cy="38100"/>
        </a:xfrm>
        <a:prstGeom prst="rect">
          <a:avLst/>
        </a:prstGeom>
        <a:solidFill>
          <a:srgbClr val="C6E0B4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3175</xdr:colOff>
      <xdr:row>29</xdr:row>
      <xdr:rowOff>85725</xdr:rowOff>
    </xdr:from>
    <xdr:to>
      <xdr:col>20</xdr:col>
      <xdr:colOff>127000</xdr:colOff>
      <xdr:row>30</xdr:row>
      <xdr:rowOff>127720</xdr:rowOff>
    </xdr:to>
    <xdr:sp macro="" textlink="">
      <xdr:nvSpPr>
        <xdr:cNvPr id="39" name="Side-Substrate Mid"/>
        <xdr:cNvSpPr/>
      </xdr:nvSpPr>
      <xdr:spPr>
        <a:xfrm>
          <a:off x="11842750" y="5219700"/>
          <a:ext cx="1524000" cy="213445"/>
        </a:xfrm>
        <a:prstGeom prst="rect">
          <a:avLst/>
        </a:prstGeom>
        <a:solidFill>
          <a:srgbClr val="FEC20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3175</xdr:colOff>
      <xdr:row>29</xdr:row>
      <xdr:rowOff>47625</xdr:rowOff>
    </xdr:from>
    <xdr:to>
      <xdr:col>20</xdr:col>
      <xdr:colOff>127000</xdr:colOff>
      <xdr:row>29</xdr:row>
      <xdr:rowOff>85725</xdr:rowOff>
    </xdr:to>
    <xdr:sp macro="" textlink="">
      <xdr:nvSpPr>
        <xdr:cNvPr id="40" name="Side-Substrate Upper"/>
        <xdr:cNvSpPr/>
      </xdr:nvSpPr>
      <xdr:spPr>
        <a:xfrm>
          <a:off x="11842750" y="5181600"/>
          <a:ext cx="1524000" cy="38100"/>
        </a:xfrm>
        <a:prstGeom prst="rect">
          <a:avLst/>
        </a:prstGeom>
        <a:solidFill>
          <a:srgbClr val="ECE4AC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511175</xdr:colOff>
      <xdr:row>29</xdr:row>
      <xdr:rowOff>9525</xdr:rowOff>
    </xdr:from>
    <xdr:to>
      <xdr:col>20</xdr:col>
      <xdr:colOff>127000</xdr:colOff>
      <xdr:row>29</xdr:row>
      <xdr:rowOff>47625</xdr:rowOff>
    </xdr:to>
    <xdr:sp macro="" textlink="">
      <xdr:nvSpPr>
        <xdr:cNvPr id="42" name="Side-IGBT Solder"/>
        <xdr:cNvSpPr/>
      </xdr:nvSpPr>
      <xdr:spPr>
        <a:xfrm>
          <a:off x="12350750" y="5143500"/>
          <a:ext cx="1016000" cy="38100"/>
        </a:xfrm>
        <a:prstGeom prst="rect">
          <a:avLst/>
        </a:prstGeom>
        <a:solidFill>
          <a:srgbClr val="808080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511175</xdr:colOff>
      <xdr:row>28</xdr:row>
      <xdr:rowOff>142875</xdr:rowOff>
    </xdr:from>
    <xdr:to>
      <xdr:col>20</xdr:col>
      <xdr:colOff>127000</xdr:colOff>
      <xdr:row>29</xdr:row>
      <xdr:rowOff>9525</xdr:rowOff>
    </xdr:to>
    <xdr:sp macro="" textlink="">
      <xdr:nvSpPr>
        <xdr:cNvPr id="43" name="Side-Die"/>
        <xdr:cNvSpPr/>
      </xdr:nvSpPr>
      <xdr:spPr>
        <a:xfrm>
          <a:off x="12350750" y="5105400"/>
          <a:ext cx="1016000" cy="38100"/>
        </a:xfrm>
        <a:prstGeom prst="rect">
          <a:avLst/>
        </a:prstGeom>
        <a:solidFill>
          <a:srgbClr val="E7E6E6"/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16</xdr:col>
      <xdr:colOff>31750</xdr:colOff>
      <xdr:row>31</xdr:row>
      <xdr:rowOff>27656</xdr:rowOff>
    </xdr:from>
    <xdr:to>
      <xdr:col>18</xdr:col>
      <xdr:colOff>382813</xdr:colOff>
      <xdr:row>36</xdr:row>
      <xdr:rowOff>2498</xdr:rowOff>
    </xdr:to>
    <xdr:grpSp>
      <xdr:nvGrpSpPr>
        <xdr:cNvPr id="14" name="Stackup Axis"/>
        <xdr:cNvGrpSpPr/>
      </xdr:nvGrpSpPr>
      <xdr:grpSpPr>
        <a:xfrm>
          <a:off x="10533063" y="5397375"/>
          <a:ext cx="1720281" cy="808279"/>
          <a:chOff x="9323103" y="5544424"/>
          <a:chExt cx="1761547" cy="862740"/>
        </a:xfrm>
      </xdr:grpSpPr>
      <xdr:cxnSp macro="">
        <xdr:nvCxnSpPr>
          <xdr:cNvPr id="35" name="Vertical Coord"/>
          <xdr:cNvCxnSpPr/>
        </xdr:nvCxnSpPr>
        <xdr:spPr>
          <a:xfrm flipV="1">
            <a:off x="9654795" y="5576047"/>
            <a:ext cx="193" cy="796120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5" name="TextBox 44"/>
          <xdr:cNvSpPr txBox="1"/>
        </xdr:nvSpPr>
        <xdr:spPr>
          <a:xfrm>
            <a:off x="9323103" y="5544424"/>
            <a:ext cx="307137" cy="4324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Y</a:t>
            </a:r>
          </a:p>
        </xdr:txBody>
      </xdr:sp>
      <xdr:cxnSp macro="">
        <xdr:nvCxnSpPr>
          <xdr:cNvPr id="46" name="Horizontal Coord"/>
          <xdr:cNvCxnSpPr/>
        </xdr:nvCxnSpPr>
        <xdr:spPr>
          <a:xfrm>
            <a:off x="9672718" y="6354065"/>
            <a:ext cx="1296207" cy="5196"/>
          </a:xfrm>
          <a:prstGeom prst="straightConnector1">
            <a:avLst/>
          </a:prstGeom>
          <a:ln w="38100">
            <a:tailEnd type="triangle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47" name="TextBox 46"/>
          <xdr:cNvSpPr txBox="1"/>
        </xdr:nvSpPr>
        <xdr:spPr>
          <a:xfrm>
            <a:off x="10777513" y="5974734"/>
            <a:ext cx="307137" cy="4324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i="1">
                <a:solidFill>
                  <a:schemeClr val="tx1">
                    <a:lumMod val="85000"/>
                    <a:lumOff val="15000"/>
                  </a:schemeClr>
                </a:solidFill>
              </a:rPr>
              <a:t>Z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net.mentor.com/about/policies/custom-script-suppor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Y41"/>
  <sheetViews>
    <sheetView showGridLines="0" tabSelected="1" zoomScale="80" zoomScaleNormal="80" workbookViewId="0">
      <selection activeCell="C39" sqref="C39:H39"/>
    </sheetView>
  </sheetViews>
  <sheetFormatPr defaultRowHeight="15" x14ac:dyDescent="0.25"/>
  <cols>
    <col min="1" max="1" width="4.42578125" customWidth="1"/>
    <col min="2" max="2" width="18.42578125" customWidth="1"/>
    <col min="3" max="3" width="17.85546875" customWidth="1"/>
    <col min="4" max="4" width="2.42578125" customWidth="1"/>
    <col min="5" max="6" width="10.28515625" customWidth="1"/>
    <col min="7" max="7" width="10.28515625" bestFit="1" customWidth="1"/>
    <col min="8" max="8" width="2.28515625" customWidth="1"/>
    <col min="9" max="9" width="19.28515625" customWidth="1"/>
    <col min="10" max="10" width="9.85546875" customWidth="1"/>
    <col min="11" max="11" width="2.140625" customWidth="1"/>
    <col min="12" max="12" width="5" customWidth="1"/>
    <col min="13" max="13" width="17.7109375" customWidth="1"/>
    <col min="14" max="14" width="12.28515625" bestFit="1" customWidth="1"/>
    <col min="15" max="15" width="8.7109375" bestFit="1" customWidth="1"/>
    <col min="16" max="16" width="5.85546875" bestFit="1" customWidth="1"/>
    <col min="17" max="17" width="8" bestFit="1" customWidth="1"/>
    <col min="18" max="18" width="12.42578125" bestFit="1" customWidth="1"/>
    <col min="19" max="19" width="12.28515625" bestFit="1" customWidth="1"/>
    <col min="20" max="20" width="8.7109375" bestFit="1" customWidth="1"/>
    <col min="21" max="21" width="6" customWidth="1"/>
    <col min="22" max="22" width="8.28515625" customWidth="1"/>
    <col min="23" max="23" width="12.7109375" customWidth="1"/>
  </cols>
  <sheetData>
    <row r="2" spans="2:19" ht="13.9" customHeight="1" x14ac:dyDescent="0.25">
      <c r="B2" s="84" t="s">
        <v>37</v>
      </c>
      <c r="C2" s="85"/>
      <c r="D2" s="85"/>
      <c r="E2" s="85"/>
      <c r="F2" s="85"/>
      <c r="G2" s="85"/>
      <c r="H2" s="85"/>
      <c r="I2" s="85"/>
      <c r="J2" s="86"/>
    </row>
    <row r="3" spans="2:19" ht="13.9" customHeight="1" x14ac:dyDescent="0.25">
      <c r="M3" s="82" t="s">
        <v>7</v>
      </c>
      <c r="N3" s="15" t="s">
        <v>15</v>
      </c>
      <c r="O3" s="15" t="s">
        <v>16</v>
      </c>
      <c r="P3" s="15" t="s">
        <v>18</v>
      </c>
      <c r="Q3" s="15" t="s">
        <v>20</v>
      </c>
      <c r="R3" s="15" t="s">
        <v>22</v>
      </c>
      <c r="S3" s="82" t="s">
        <v>14</v>
      </c>
    </row>
    <row r="4" spans="2:19" ht="14.45" customHeight="1" x14ac:dyDescent="0.25">
      <c r="C4" s="1" t="s">
        <v>45</v>
      </c>
      <c r="D4" s="80">
        <v>1.0000000000000001E-5</v>
      </c>
      <c r="E4" s="81"/>
      <c r="M4" s="83"/>
      <c r="N4" s="16" t="s">
        <v>23</v>
      </c>
      <c r="O4" s="16" t="s">
        <v>24</v>
      </c>
      <c r="P4" s="16" t="s">
        <v>17</v>
      </c>
      <c r="Q4" s="16" t="s">
        <v>19</v>
      </c>
      <c r="R4" s="16" t="s">
        <v>21</v>
      </c>
      <c r="S4" s="83"/>
    </row>
    <row r="5" spans="2:19" x14ac:dyDescent="0.25">
      <c r="C5" s="1" t="s">
        <v>36</v>
      </c>
      <c r="D5" s="89">
        <v>25</v>
      </c>
      <c r="E5" s="89"/>
      <c r="F5" s="5"/>
      <c r="G5" s="5"/>
      <c r="H5" s="5"/>
      <c r="I5" s="5"/>
      <c r="J5" s="5"/>
      <c r="M5" s="28" t="s">
        <v>2</v>
      </c>
      <c r="N5" s="29">
        <v>0.68</v>
      </c>
      <c r="O5" s="30"/>
      <c r="P5" s="30"/>
      <c r="Q5" s="30">
        <v>1820</v>
      </c>
      <c r="R5" s="30">
        <v>882</v>
      </c>
      <c r="S5" s="45"/>
    </row>
    <row r="6" spans="2:19" ht="14.45" customHeight="1" x14ac:dyDescent="0.25">
      <c r="M6" s="34" t="s">
        <v>8</v>
      </c>
      <c r="N6" s="35">
        <v>117.5</v>
      </c>
      <c r="O6" s="36">
        <v>-0.42</v>
      </c>
      <c r="P6" s="36">
        <v>100</v>
      </c>
      <c r="Q6" s="36">
        <v>2330</v>
      </c>
      <c r="R6" s="36">
        <v>700</v>
      </c>
      <c r="S6" s="37"/>
    </row>
    <row r="7" spans="2:19" ht="14.45" customHeight="1" x14ac:dyDescent="0.25">
      <c r="B7" s="84" t="s">
        <v>30</v>
      </c>
      <c r="C7" s="85"/>
      <c r="D7" s="85"/>
      <c r="E7" s="85"/>
      <c r="F7" s="85"/>
      <c r="G7" s="85"/>
      <c r="H7" s="85"/>
      <c r="I7" s="85"/>
      <c r="J7" s="86"/>
      <c r="M7" s="34" t="s">
        <v>10</v>
      </c>
      <c r="N7" s="35">
        <v>20</v>
      </c>
      <c r="O7" s="36"/>
      <c r="P7" s="36"/>
      <c r="Q7" s="36">
        <v>7400</v>
      </c>
      <c r="R7" s="36">
        <v>306</v>
      </c>
      <c r="S7" s="33"/>
    </row>
    <row r="8" spans="2:19" ht="13.9" customHeight="1" x14ac:dyDescent="0.25">
      <c r="M8" s="34" t="s">
        <v>6</v>
      </c>
      <c r="N8" s="35">
        <v>20</v>
      </c>
      <c r="O8" s="36"/>
      <c r="P8" s="36"/>
      <c r="Q8" s="36">
        <v>7400</v>
      </c>
      <c r="R8" s="36">
        <v>306</v>
      </c>
      <c r="S8" s="42"/>
    </row>
    <row r="9" spans="2:19" ht="14.45" customHeight="1" x14ac:dyDescent="0.25">
      <c r="B9" s="1" t="s">
        <v>31</v>
      </c>
      <c r="C9" s="58" t="s">
        <v>32</v>
      </c>
      <c r="F9" s="46"/>
      <c r="H9" s="25"/>
      <c r="M9" s="34" t="s">
        <v>28</v>
      </c>
      <c r="N9" s="35">
        <v>160</v>
      </c>
      <c r="O9" s="36"/>
      <c r="P9" s="36"/>
      <c r="Q9" s="36">
        <v>8930</v>
      </c>
      <c r="R9" s="36">
        <v>385</v>
      </c>
      <c r="S9" s="41"/>
    </row>
    <row r="10" spans="2:19" ht="13.9" customHeight="1" x14ac:dyDescent="0.25">
      <c r="M10" s="34" t="s">
        <v>29</v>
      </c>
      <c r="N10" s="35">
        <v>80</v>
      </c>
      <c r="O10" s="36"/>
      <c r="P10" s="36"/>
      <c r="Q10" s="36">
        <v>8930</v>
      </c>
      <c r="R10" s="36">
        <v>385</v>
      </c>
      <c r="S10" s="40"/>
    </row>
    <row r="11" spans="2:19" ht="15" customHeight="1" x14ac:dyDescent="0.25">
      <c r="C11" s="48" t="s">
        <v>7</v>
      </c>
      <c r="D11" s="8"/>
      <c r="E11" s="48" t="s">
        <v>38</v>
      </c>
      <c r="F11" s="48" t="s">
        <v>39</v>
      </c>
      <c r="G11" s="48" t="s">
        <v>40</v>
      </c>
      <c r="H11" s="8"/>
      <c r="I11" s="87" t="s">
        <v>52</v>
      </c>
      <c r="J11" s="88"/>
      <c r="M11" s="34" t="s">
        <v>27</v>
      </c>
      <c r="N11" s="35">
        <v>170</v>
      </c>
      <c r="O11" s="36"/>
      <c r="P11" s="36"/>
      <c r="Q11" s="36">
        <v>3260</v>
      </c>
      <c r="R11" s="36">
        <v>765</v>
      </c>
      <c r="S11" s="44"/>
    </row>
    <row r="12" spans="2:19" ht="13.9" customHeight="1" x14ac:dyDescent="0.25">
      <c r="M12" s="34" t="s">
        <v>9</v>
      </c>
      <c r="N12" s="35">
        <v>385</v>
      </c>
      <c r="O12" s="36"/>
      <c r="P12" s="36"/>
      <c r="Q12" s="36">
        <v>8930</v>
      </c>
      <c r="R12" s="36">
        <v>385</v>
      </c>
      <c r="S12" s="43"/>
    </row>
    <row r="13" spans="2:19" ht="14.45" customHeight="1" x14ac:dyDescent="0.25">
      <c r="B13" s="3" t="s">
        <v>2</v>
      </c>
      <c r="C13" s="57" t="s">
        <v>2</v>
      </c>
      <c r="E13" s="26">
        <v>25</v>
      </c>
      <c r="F13" s="26">
        <v>5.95</v>
      </c>
      <c r="G13" s="26">
        <v>24</v>
      </c>
      <c r="I13" s="7" t="str">
        <f>CONCATENATE("Centered on ",$B$35)</f>
        <v>Centered on Baseplate</v>
      </c>
      <c r="J13" s="7"/>
      <c r="M13" s="34"/>
      <c r="N13" s="35"/>
      <c r="O13" s="36"/>
      <c r="P13" s="36"/>
      <c r="Q13" s="36"/>
      <c r="R13" s="36"/>
      <c r="S13" s="31"/>
    </row>
    <row r="14" spans="2:19" x14ac:dyDescent="0.25">
      <c r="B14" s="10"/>
      <c r="I14" s="9"/>
      <c r="J14" s="9"/>
      <c r="M14" s="34"/>
      <c r="N14" s="35"/>
      <c r="O14" s="36"/>
      <c r="P14" s="36"/>
      <c r="Q14" s="36"/>
      <c r="R14" s="36"/>
      <c r="S14" s="32"/>
    </row>
    <row r="15" spans="2:19" ht="13.9" customHeight="1" x14ac:dyDescent="0.25">
      <c r="B15" s="52" t="s">
        <v>1</v>
      </c>
      <c r="C15" s="57" t="s">
        <v>8</v>
      </c>
      <c r="D15" s="51"/>
      <c r="E15" s="27">
        <v>7</v>
      </c>
      <c r="F15" s="27">
        <v>0.14000000000000001</v>
      </c>
      <c r="G15" s="27">
        <v>11.5</v>
      </c>
      <c r="H15" s="64"/>
      <c r="I15" s="73" t="s">
        <v>51</v>
      </c>
      <c r="J15" s="66" t="s">
        <v>54</v>
      </c>
      <c r="K15" s="4"/>
    </row>
    <row r="16" spans="2:19" ht="15" customHeight="1" x14ac:dyDescent="0.25">
      <c r="D16" s="51"/>
      <c r="E16" s="51"/>
      <c r="F16" s="51"/>
      <c r="G16" s="51"/>
      <c r="H16" s="65"/>
      <c r="I16" s="72" t="s">
        <v>41</v>
      </c>
      <c r="J16" s="67">
        <v>13.05</v>
      </c>
      <c r="N16" s="20"/>
    </row>
    <row r="17" spans="2:25" s="62" customFormat="1" ht="15" customHeight="1" x14ac:dyDescent="0.25">
      <c r="D17" s="51"/>
      <c r="E17" s="51"/>
      <c r="F17" s="51"/>
      <c r="G17" s="51"/>
      <c r="H17" s="74"/>
      <c r="I17" s="78" t="s">
        <v>57</v>
      </c>
      <c r="J17" s="61">
        <v>3.9999999999999998E-7</v>
      </c>
      <c r="N17" s="20"/>
    </row>
    <row r="18" spans="2:25" ht="13.9" customHeight="1" x14ac:dyDescent="0.25">
      <c r="B18" s="76"/>
      <c r="C18" s="63"/>
      <c r="D18" s="51"/>
      <c r="E18" s="51"/>
      <c r="F18" s="51"/>
      <c r="G18" s="51"/>
      <c r="H18" s="75"/>
      <c r="N18" s="20"/>
    </row>
    <row r="19" spans="2:25" ht="13.9" customHeight="1" x14ac:dyDescent="0.25">
      <c r="B19" s="56" t="s">
        <v>11</v>
      </c>
      <c r="C19" s="5"/>
      <c r="E19" s="18"/>
      <c r="F19" s="26">
        <v>0.03</v>
      </c>
      <c r="G19" s="18"/>
      <c r="I19" s="59" t="s">
        <v>42</v>
      </c>
      <c r="J19" s="26">
        <v>1</v>
      </c>
      <c r="N19" s="21"/>
    </row>
    <row r="20" spans="2:25" ht="13.9" customHeight="1" x14ac:dyDescent="0.25">
      <c r="B20" s="5"/>
      <c r="E20" s="47"/>
      <c r="G20" s="18"/>
      <c r="H20" s="38"/>
      <c r="I20" s="59" t="s">
        <v>43</v>
      </c>
      <c r="J20" s="26">
        <v>0.02</v>
      </c>
      <c r="K20" s="6"/>
      <c r="N20" s="21"/>
    </row>
    <row r="21" spans="2:25" ht="13.9" customHeight="1" x14ac:dyDescent="0.25">
      <c r="B21" s="76"/>
      <c r="G21" s="18"/>
      <c r="H21" s="38"/>
      <c r="I21" s="71" t="s">
        <v>25</v>
      </c>
      <c r="J21" s="70">
        <v>60</v>
      </c>
      <c r="K21" s="6"/>
      <c r="N21" s="21"/>
      <c r="X21" s="19"/>
      <c r="Y21" s="19"/>
    </row>
    <row r="22" spans="2:25" ht="13.9" customHeight="1" x14ac:dyDescent="0.25">
      <c r="B22" s="60" t="s">
        <v>0</v>
      </c>
      <c r="C22" s="57" t="s">
        <v>10</v>
      </c>
      <c r="D22" s="51"/>
      <c r="E22" s="51"/>
      <c r="F22" s="26">
        <v>0.1</v>
      </c>
      <c r="G22" s="53"/>
      <c r="H22" s="54"/>
      <c r="I22" s="53"/>
      <c r="J22" s="53"/>
      <c r="N22" s="21"/>
      <c r="W22" s="19"/>
      <c r="X22" s="19"/>
      <c r="Y22" s="19"/>
    </row>
    <row r="23" spans="2:25" ht="13.9" customHeight="1" x14ac:dyDescent="0.25">
      <c r="N23" s="21"/>
    </row>
    <row r="24" spans="2:25" ht="13.9" customHeight="1" x14ac:dyDescent="0.25">
      <c r="B24" s="3" t="s">
        <v>12</v>
      </c>
      <c r="E24" s="26">
        <v>12</v>
      </c>
      <c r="G24" s="26">
        <v>12.7</v>
      </c>
      <c r="H24" s="68"/>
      <c r="I24" s="77" t="s">
        <v>51</v>
      </c>
      <c r="J24" s="66" t="s">
        <v>54</v>
      </c>
      <c r="N24" s="21"/>
    </row>
    <row r="25" spans="2:25" ht="13.9" customHeight="1" x14ac:dyDescent="0.25">
      <c r="B25" s="10"/>
      <c r="I25" s="69" t="s">
        <v>41</v>
      </c>
      <c r="J25" s="26">
        <v>9.75</v>
      </c>
      <c r="N25" s="21"/>
    </row>
    <row r="26" spans="2:25" ht="13.9" customHeight="1" x14ac:dyDescent="0.25">
      <c r="B26" s="50" t="s">
        <v>3</v>
      </c>
      <c r="C26" s="57" t="s">
        <v>28</v>
      </c>
      <c r="D26" s="51"/>
      <c r="E26" s="51"/>
      <c r="F26" s="26">
        <v>0.05</v>
      </c>
      <c r="G26" s="51"/>
      <c r="H26" s="51"/>
      <c r="I26" s="51"/>
      <c r="J26" s="51"/>
      <c r="N26" s="21"/>
    </row>
    <row r="27" spans="2:25" ht="13.9" customHeight="1" x14ac:dyDescent="0.25">
      <c r="B27" s="1" t="s">
        <v>4</v>
      </c>
      <c r="C27" s="57" t="s">
        <v>9</v>
      </c>
      <c r="F27" s="26">
        <v>0.8</v>
      </c>
      <c r="G27" s="12"/>
      <c r="H27" s="13"/>
      <c r="I27" s="13"/>
      <c r="J27" s="11"/>
      <c r="N27" s="21"/>
    </row>
    <row r="28" spans="2:25" ht="13.9" customHeight="1" x14ac:dyDescent="0.25">
      <c r="B28" s="50" t="s">
        <v>5</v>
      </c>
      <c r="C28" s="57" t="s">
        <v>29</v>
      </c>
      <c r="D28" s="51"/>
      <c r="E28" s="51"/>
      <c r="F28" s="26">
        <v>0.05</v>
      </c>
      <c r="G28" s="51"/>
      <c r="H28" s="51"/>
      <c r="I28" s="51"/>
      <c r="J28" s="51"/>
      <c r="K28" s="51"/>
      <c r="N28" s="21"/>
    </row>
    <row r="29" spans="2:25" ht="13.9" customHeight="1" x14ac:dyDescent="0.25">
      <c r="B29" s="2" t="s">
        <v>6</v>
      </c>
      <c r="C29" s="57" t="s">
        <v>6</v>
      </c>
      <c r="F29" s="26">
        <v>0.05</v>
      </c>
      <c r="N29" s="21"/>
    </row>
    <row r="30" spans="2:25" ht="13.9" customHeight="1" x14ac:dyDescent="0.25">
      <c r="N30" s="21"/>
    </row>
    <row r="31" spans="2:25" ht="13.9" customHeight="1" x14ac:dyDescent="0.25">
      <c r="B31" s="17" t="s">
        <v>26</v>
      </c>
      <c r="C31" s="57" t="s">
        <v>27</v>
      </c>
      <c r="E31" s="26">
        <v>17</v>
      </c>
      <c r="F31" s="26">
        <v>0.64</v>
      </c>
      <c r="G31" s="26">
        <v>12.7</v>
      </c>
      <c r="I31" s="59" t="s">
        <v>51</v>
      </c>
      <c r="J31" s="49" t="s">
        <v>54</v>
      </c>
      <c r="N31" s="21"/>
    </row>
    <row r="32" spans="2:25" ht="13.9" customHeight="1" x14ac:dyDescent="0.25">
      <c r="B32" s="10"/>
      <c r="I32" s="59" t="s">
        <v>41</v>
      </c>
      <c r="J32" s="26">
        <v>4.75</v>
      </c>
      <c r="N32" s="21" t="s">
        <v>32</v>
      </c>
    </row>
    <row r="33" spans="2:14" ht="13.9" customHeight="1" x14ac:dyDescent="0.25">
      <c r="B33" s="2" t="s">
        <v>6</v>
      </c>
      <c r="C33" s="57" t="s">
        <v>6</v>
      </c>
      <c r="F33" s="26">
        <v>0.05</v>
      </c>
      <c r="G33" s="14"/>
      <c r="H33" s="11"/>
      <c r="I33" s="11"/>
      <c r="J33" s="14"/>
      <c r="N33" s="21" t="s">
        <v>33</v>
      </c>
    </row>
    <row r="34" spans="2:14" ht="13.9" customHeight="1" x14ac:dyDescent="0.25">
      <c r="N34" s="21" t="s">
        <v>34</v>
      </c>
    </row>
    <row r="35" spans="2:14" ht="13.9" customHeight="1" x14ac:dyDescent="0.25">
      <c r="B35" s="56" t="s">
        <v>13</v>
      </c>
      <c r="C35" s="57" t="s">
        <v>9</v>
      </c>
      <c r="E35" s="26">
        <v>25</v>
      </c>
      <c r="F35" s="26">
        <v>2.0499999999999998</v>
      </c>
      <c r="G35" s="26">
        <v>38</v>
      </c>
      <c r="I35" s="71" t="s">
        <v>58</v>
      </c>
      <c r="J35" s="55" t="s">
        <v>56</v>
      </c>
      <c r="N35" s="21" t="s">
        <v>35</v>
      </c>
    </row>
    <row r="36" spans="2:14" ht="13.9" customHeight="1" x14ac:dyDescent="0.25">
      <c r="B36" s="2" t="s">
        <v>53</v>
      </c>
      <c r="E36" s="26">
        <v>3</v>
      </c>
      <c r="G36" s="26">
        <v>24</v>
      </c>
      <c r="I36" s="22"/>
      <c r="J36" s="22"/>
      <c r="K36" s="5"/>
    </row>
    <row r="37" spans="2:14" ht="13.9" customHeight="1" x14ac:dyDescent="0.25">
      <c r="B37" s="23"/>
      <c r="D37" s="5"/>
      <c r="I37" s="5"/>
      <c r="J37" s="5"/>
    </row>
    <row r="38" spans="2:14" ht="13.9" customHeight="1" x14ac:dyDescent="0.25"/>
    <row r="39" spans="2:14" ht="13.9" customHeight="1" x14ac:dyDescent="0.25">
      <c r="B39" s="1" t="s">
        <v>44</v>
      </c>
      <c r="C39" s="79" t="s">
        <v>59</v>
      </c>
      <c r="D39" s="79"/>
      <c r="E39" s="79"/>
      <c r="F39" s="79"/>
      <c r="G39" s="79"/>
      <c r="H39" s="79"/>
    </row>
    <row r="40" spans="2:14" ht="13.9" customHeight="1" x14ac:dyDescent="0.25"/>
    <row r="41" spans="2:14" ht="13.9" customHeight="1" x14ac:dyDescent="0.25">
      <c r="I41" s="39"/>
    </row>
  </sheetData>
  <sheetProtection sheet="1" objects="1" scenarios="1" formatCells="0" selectLockedCells="1"/>
  <mergeCells count="8">
    <mergeCell ref="C39:H39"/>
    <mergeCell ref="D4:E4"/>
    <mergeCell ref="M3:M4"/>
    <mergeCell ref="S3:S4"/>
    <mergeCell ref="B2:J2"/>
    <mergeCell ref="B7:J7"/>
    <mergeCell ref="I11:J11"/>
    <mergeCell ref="D5:E5"/>
  </mergeCells>
  <conditionalFormatting sqref="J16">
    <cfRule type="expression" dxfId="7" priority="29">
      <formula>$J$15="Centered"</formula>
    </cfRule>
  </conditionalFormatting>
  <conditionalFormatting sqref="J25">
    <cfRule type="expression" dxfId="6" priority="30">
      <formula>$J$24="Centered"</formula>
    </cfRule>
  </conditionalFormatting>
  <conditionalFormatting sqref="J32">
    <cfRule type="expression" dxfId="5" priority="31">
      <formula>$J$31="Centered"</formula>
    </cfRule>
  </conditionalFormatting>
  <conditionalFormatting sqref="E36 G36">
    <cfRule type="expression" dxfId="4" priority="2">
      <formula>$J$35="No Notch"</formula>
    </cfRule>
  </conditionalFormatting>
  <conditionalFormatting sqref="B36">
    <cfRule type="expression" dxfId="3" priority="1">
      <formula>$J$35="No Notch"</formula>
    </cfRule>
  </conditionalFormatting>
  <dataValidations xWindow="401" yWindow="302" count="8">
    <dataValidation type="list" allowBlank="1" showInputMessage="1" showErrorMessage="1" sqref="K40:K41">
      <formula1>$M$5:$M$12</formula1>
    </dataValidation>
    <dataValidation type="list" allowBlank="1" showInputMessage="1" showErrorMessage="1" sqref="C13 C15 C22 C26:C29 C31 C33 C35">
      <formula1>$M$5:$M$14</formula1>
    </dataValidation>
    <dataValidation type="list" allowBlank="1" showInputMessage="1" showErrorMessage="1" sqref="J31 J15 J24">
      <formula1>"Centered,User Input"</formula1>
    </dataValidation>
    <dataValidation type="list" allowBlank="1" showInputMessage="1" showErrorMessage="1" sqref="C9">
      <formula1>"mm,micron,inch,mil"</formula1>
    </dataValidation>
    <dataValidation type="list" allowBlank="1" showInputMessage="1" showErrorMessage="1" sqref="J35">
      <formula1>"Notched,No Notch"</formula1>
    </dataValidation>
    <dataValidation type="decimal" operator="greaterThan" allowBlank="1" showInputMessage="1" showErrorMessage="1" errorTitle="Invalid Data Entry" error="Must enter numeric value greater than zero" sqref="G35 E13:G13 E15:G15 E36 F19 F35 B21 G36 F22 E24 G24 J25 F26:F29 E31 F31 G31 J32 F33 E35 J16">
      <formula1>0</formula1>
    </dataValidation>
    <dataValidation type="decimal" operator="greaterThanOrEqual" allowBlank="1" showInputMessage="1" showErrorMessage="1" errorTitle="Invalid Data Entry" error="Must enter numeric value greater than or equal to zero" sqref="J19:J20 B18 D4:E4">
      <formula1>0</formula1>
    </dataValidation>
    <dataValidation type="decimal" operator="greaterThan" allowBlank="1" showErrorMessage="1" errorTitle="Invalid Data Entry" error="Must enter numeric value greater than -273.15" promptTitle="Coldplate temperature" prompt="_x000a_" sqref="D5:E5">
      <formula1>-273.15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81:G83"/>
  <sheetViews>
    <sheetView showGridLines="0" topLeftCell="A79" workbookViewId="0">
      <selection activeCell="F102" sqref="F102"/>
    </sheetView>
  </sheetViews>
  <sheetFormatPr defaultRowHeight="15" x14ac:dyDescent="0.25"/>
  <sheetData>
    <row r="81" spans="3:7" x14ac:dyDescent="0.25">
      <c r="C81" t="s">
        <v>46</v>
      </c>
    </row>
    <row r="82" spans="3:7" x14ac:dyDescent="0.25">
      <c r="C82" t="s">
        <v>48</v>
      </c>
      <c r="G82" s="24" t="s">
        <v>49</v>
      </c>
    </row>
    <row r="83" spans="3:7" x14ac:dyDescent="0.25">
      <c r="C83" t="s">
        <v>47</v>
      </c>
    </row>
  </sheetData>
  <hyperlinks>
    <hyperlink ref="G8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S40"/>
  <sheetViews>
    <sheetView showGridLines="0" zoomScale="84" zoomScaleNormal="84" workbookViewId="0"/>
  </sheetViews>
  <sheetFormatPr defaultRowHeight="15" x14ac:dyDescent="0.25"/>
  <cols>
    <col min="1" max="1" width="5.7109375" bestFit="1" customWidth="1"/>
    <col min="2" max="2" width="14.28515625" customWidth="1"/>
    <col min="3" max="3" width="17.85546875" customWidth="1"/>
    <col min="4" max="4" width="2.42578125" customWidth="1"/>
    <col min="5" max="6" width="10.28515625" customWidth="1"/>
    <col min="7" max="7" width="10.28515625" bestFit="1" customWidth="1"/>
    <col min="8" max="8" width="2.28515625" customWidth="1"/>
    <col min="9" max="9" width="13.42578125" customWidth="1"/>
    <col min="10" max="10" width="12" customWidth="1"/>
    <col min="11" max="11" width="2.140625" customWidth="1"/>
    <col min="12" max="12" width="5" customWidth="1"/>
    <col min="13" max="13" width="17.7109375" customWidth="1"/>
    <col min="14" max="14" width="12.28515625" bestFit="1" customWidth="1"/>
    <col min="15" max="15" width="8.7109375" bestFit="1" customWidth="1"/>
    <col min="16" max="16" width="5.85546875" bestFit="1" customWidth="1"/>
    <col min="17" max="17" width="8" bestFit="1" customWidth="1"/>
    <col min="18" max="18" width="12.42578125" bestFit="1" customWidth="1"/>
    <col min="19" max="19" width="12.28515625" bestFit="1" customWidth="1"/>
    <col min="20" max="20" width="8.7109375" bestFit="1" customWidth="1"/>
    <col min="21" max="21" width="6" customWidth="1"/>
    <col min="22" max="22" width="8.28515625" customWidth="1"/>
    <col min="23" max="23" width="12.7109375" customWidth="1"/>
  </cols>
  <sheetData>
    <row r="2" spans="2:19" ht="13.9" customHeight="1" x14ac:dyDescent="0.25">
      <c r="B2" s="90"/>
      <c r="C2" s="90"/>
      <c r="D2" s="90"/>
      <c r="E2" s="90"/>
      <c r="F2" s="90"/>
      <c r="G2" s="90"/>
      <c r="H2" s="90"/>
      <c r="I2" s="90"/>
      <c r="J2" s="90"/>
    </row>
    <row r="3" spans="2:19" ht="13.9" customHeight="1" x14ac:dyDescent="0.25">
      <c r="M3" s="90"/>
      <c r="S3" s="90"/>
    </row>
    <row r="4" spans="2:19" ht="14.45" customHeight="1" x14ac:dyDescent="0.25">
      <c r="D4" s="90"/>
      <c r="E4" s="90"/>
      <c r="M4" s="90"/>
      <c r="S4" s="90"/>
    </row>
    <row r="5" spans="2:19" x14ac:dyDescent="0.25">
      <c r="D5" s="90"/>
      <c r="E5" s="90"/>
    </row>
    <row r="6" spans="2:19" ht="14.45" customHeight="1" x14ac:dyDescent="0.25"/>
    <row r="7" spans="2:19" ht="14.45" customHeight="1" x14ac:dyDescent="0.25">
      <c r="B7" s="90"/>
      <c r="C7" s="90"/>
      <c r="D7" s="90"/>
      <c r="E7" s="90"/>
      <c r="F7" s="90"/>
      <c r="G7" s="90"/>
      <c r="H7" s="90"/>
      <c r="I7" s="90"/>
      <c r="J7" s="90"/>
    </row>
    <row r="8" spans="2:19" ht="13.9" customHeight="1" x14ac:dyDescent="0.25"/>
    <row r="9" spans="2:19" ht="14.45" customHeight="1" x14ac:dyDescent="0.25">
      <c r="C9" t="s">
        <v>32</v>
      </c>
    </row>
    <row r="10" spans="2:19" ht="13.9" customHeight="1" x14ac:dyDescent="0.25"/>
    <row r="11" spans="2:19" ht="15" customHeight="1" x14ac:dyDescent="0.25">
      <c r="C11" t="s">
        <v>7</v>
      </c>
      <c r="E11" t="s">
        <v>38</v>
      </c>
      <c r="F11" t="s">
        <v>39</v>
      </c>
      <c r="G11" t="s">
        <v>40</v>
      </c>
      <c r="I11" s="90" t="s">
        <v>52</v>
      </c>
      <c r="J11" s="90"/>
    </row>
    <row r="12" spans="2:19" ht="13.9" customHeight="1" x14ac:dyDescent="0.25"/>
    <row r="13" spans="2:19" ht="14.45" customHeight="1" x14ac:dyDescent="0.25">
      <c r="C13" t="s">
        <v>2</v>
      </c>
      <c r="E13">
        <v>25</v>
      </c>
      <c r="F13">
        <v>5.95</v>
      </c>
      <c r="G13">
        <v>24</v>
      </c>
      <c r="I13" t="s">
        <v>50</v>
      </c>
    </row>
    <row r="15" spans="2:19" ht="13.9" customHeight="1" x14ac:dyDescent="0.25">
      <c r="C15" t="s">
        <v>8</v>
      </c>
      <c r="E15">
        <v>7</v>
      </c>
      <c r="F15">
        <v>0.14000000000000001</v>
      </c>
      <c r="G15">
        <v>11.5</v>
      </c>
      <c r="I15" t="s">
        <v>51</v>
      </c>
      <c r="J15" t="s">
        <v>54</v>
      </c>
    </row>
    <row r="16" spans="2:19" ht="15" customHeight="1" x14ac:dyDescent="0.25">
      <c r="B16" s="90"/>
      <c r="C16" s="90"/>
      <c r="I16" t="s">
        <v>41</v>
      </c>
      <c r="J16">
        <v>13.05</v>
      </c>
    </row>
    <row r="17" spans="3:10" ht="13.9" customHeight="1" x14ac:dyDescent="0.25">
      <c r="I17" t="s">
        <v>55</v>
      </c>
      <c r="J17">
        <v>3.9999999999999998E-7</v>
      </c>
    </row>
    <row r="18" spans="3:10" ht="13.9" customHeight="1" x14ac:dyDescent="0.25"/>
    <row r="19" spans="3:10" ht="13.9" customHeight="1" x14ac:dyDescent="0.25">
      <c r="F19">
        <v>0.03</v>
      </c>
      <c r="I19" t="s">
        <v>42</v>
      </c>
      <c r="J19">
        <v>1</v>
      </c>
    </row>
    <row r="20" spans="3:10" ht="13.9" customHeight="1" x14ac:dyDescent="0.25">
      <c r="I20" t="s">
        <v>43</v>
      </c>
      <c r="J20">
        <v>0.02</v>
      </c>
    </row>
    <row r="21" spans="3:10" ht="13.9" customHeight="1" x14ac:dyDescent="0.25">
      <c r="I21" t="s">
        <v>25</v>
      </c>
      <c r="J21">
        <v>60</v>
      </c>
    </row>
    <row r="22" spans="3:10" ht="13.9" customHeight="1" x14ac:dyDescent="0.25">
      <c r="C22" t="s">
        <v>10</v>
      </c>
      <c r="F22">
        <v>0.1</v>
      </c>
    </row>
    <row r="23" spans="3:10" ht="13.9" customHeight="1" x14ac:dyDescent="0.25"/>
    <row r="24" spans="3:10" ht="13.9" customHeight="1" x14ac:dyDescent="0.25">
      <c r="E24">
        <v>12</v>
      </c>
      <c r="G24">
        <v>12.7</v>
      </c>
      <c r="I24" t="s">
        <v>51</v>
      </c>
      <c r="J24" t="s">
        <v>54</v>
      </c>
    </row>
    <row r="25" spans="3:10" ht="13.9" customHeight="1" x14ac:dyDescent="0.25">
      <c r="I25" t="s">
        <v>41</v>
      </c>
      <c r="J25">
        <v>9.75</v>
      </c>
    </row>
    <row r="26" spans="3:10" ht="13.9" customHeight="1" x14ac:dyDescent="0.25">
      <c r="C26" t="s">
        <v>28</v>
      </c>
      <c r="F26">
        <v>0.05</v>
      </c>
    </row>
    <row r="27" spans="3:10" ht="13.9" customHeight="1" x14ac:dyDescent="0.25">
      <c r="C27" t="s">
        <v>9</v>
      </c>
      <c r="F27">
        <v>0.8</v>
      </c>
    </row>
    <row r="28" spans="3:10" ht="13.9" customHeight="1" x14ac:dyDescent="0.25">
      <c r="C28" t="s">
        <v>29</v>
      </c>
      <c r="F28">
        <v>0.05</v>
      </c>
    </row>
    <row r="29" spans="3:10" ht="13.9" customHeight="1" x14ac:dyDescent="0.25">
      <c r="C29" t="s">
        <v>6</v>
      </c>
      <c r="F29">
        <v>0.05</v>
      </c>
    </row>
    <row r="30" spans="3:10" ht="13.9" customHeight="1" x14ac:dyDescent="0.25"/>
    <row r="31" spans="3:10" ht="13.9" customHeight="1" x14ac:dyDescent="0.25">
      <c r="C31" t="s">
        <v>27</v>
      </c>
      <c r="E31">
        <v>17</v>
      </c>
      <c r="F31">
        <v>0.64</v>
      </c>
      <c r="G31">
        <v>12.7</v>
      </c>
      <c r="I31" t="s">
        <v>51</v>
      </c>
      <c r="J31" t="s">
        <v>54</v>
      </c>
    </row>
    <row r="32" spans="3:10" ht="13.9" customHeight="1" x14ac:dyDescent="0.25">
      <c r="I32" t="s">
        <v>41</v>
      </c>
      <c r="J32">
        <v>4.75</v>
      </c>
    </row>
    <row r="33" spans="3:10" ht="13.9" customHeight="1" x14ac:dyDescent="0.25">
      <c r="C33" t="s">
        <v>6</v>
      </c>
      <c r="F33">
        <v>0.05</v>
      </c>
    </row>
    <row r="34" spans="3:10" ht="13.9" customHeight="1" x14ac:dyDescent="0.25"/>
    <row r="35" spans="3:10" ht="13.9" customHeight="1" x14ac:dyDescent="0.25">
      <c r="C35" t="s">
        <v>9</v>
      </c>
      <c r="E35">
        <v>25</v>
      </c>
      <c r="F35">
        <v>2.0499999999999998</v>
      </c>
      <c r="G35">
        <v>38</v>
      </c>
      <c r="I35" t="s">
        <v>58</v>
      </c>
      <c r="J35" t="s">
        <v>56</v>
      </c>
    </row>
    <row r="36" spans="3:10" ht="13.9" customHeight="1" x14ac:dyDescent="0.25">
      <c r="E36">
        <v>3</v>
      </c>
      <c r="G36">
        <v>24</v>
      </c>
    </row>
    <row r="37" spans="3:10" ht="13.9" customHeight="1" x14ac:dyDescent="0.25"/>
    <row r="38" spans="3:10" ht="13.9" customHeight="1" x14ac:dyDescent="0.25">
      <c r="C38" s="90"/>
      <c r="D38" s="90"/>
      <c r="E38" s="90"/>
      <c r="F38" s="90"/>
      <c r="G38" s="90"/>
      <c r="H38" s="90"/>
    </row>
    <row r="39" spans="3:10" ht="13.9" customHeight="1" x14ac:dyDescent="0.25"/>
    <row r="40" spans="3:10" ht="13.9" customHeight="1" x14ac:dyDescent="0.25"/>
  </sheetData>
  <mergeCells count="9">
    <mergeCell ref="B16:C16"/>
    <mergeCell ref="C38:H38"/>
    <mergeCell ref="B2:J2"/>
    <mergeCell ref="M3:M4"/>
    <mergeCell ref="S3:S4"/>
    <mergeCell ref="D4:E4"/>
    <mergeCell ref="D5:E5"/>
    <mergeCell ref="B7:J7"/>
    <mergeCell ref="I11:J11"/>
  </mergeCells>
  <conditionalFormatting sqref="J16">
    <cfRule type="expression" dxfId="2" priority="1">
      <formula>$J$15="Centered"</formula>
    </cfRule>
  </conditionalFormatting>
  <conditionalFormatting sqref="J24">
    <cfRule type="expression" dxfId="1" priority="2">
      <formula>$J$23="Centered"</formula>
    </cfRule>
  </conditionalFormatting>
  <conditionalFormatting sqref="J31">
    <cfRule type="expression" dxfId="0" priority="3">
      <formula>$J$30="Centered"</formula>
    </cfRule>
  </conditionalFormatting>
  <dataValidations count="6">
    <dataValidation type="list" allowBlank="1" showInputMessage="1" showErrorMessage="1" sqref="C13 C15 C21 C25:C28 C30 C32 C34">
      <formula1>$M$5:$M$14</formula1>
    </dataValidation>
    <dataValidation type="list" allowBlank="1" showInputMessage="1" showErrorMessage="1" sqref="J17 K39:K40">
      <formula1>$M$5:$M$12</formula1>
    </dataValidation>
    <dataValidation type="list" allowBlank="1" showInputMessage="1" showErrorMessage="1" sqref="C9">
      <formula1>"mm,micron,inch,mil"</formula1>
    </dataValidation>
    <dataValidation type="list" allowBlank="1" showInputMessage="1" showErrorMessage="1" sqref="J15 J23">
      <formula1>"Centered,User Defined"</formula1>
    </dataValidation>
    <dataValidation type="list" allowBlank="1" showInputMessage="1" showErrorMessage="1" sqref="J30">
      <formula1>"Centered,User Defined "</formula1>
    </dataValidation>
    <dataValidation type="list" allowBlank="1" showInputMessage="1" showErrorMessage="1" sqref="C35">
      <formula1>"Notched,No Notch"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IGBT</vt:lpstr>
      <vt:lpstr>Help &amp; Advice</vt:lpstr>
      <vt:lpstr>OldData</vt:lpstr>
    </vt:vector>
  </TitlesOfParts>
  <Company>Mentor Graphics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Batool, Haider</cp:lastModifiedBy>
  <dcterms:created xsi:type="dcterms:W3CDTF">2015-09-15T18:16:43Z</dcterms:created>
  <dcterms:modified xsi:type="dcterms:W3CDTF">2018-08-24T10:52:55Z</dcterms:modified>
</cp:coreProperties>
</file>