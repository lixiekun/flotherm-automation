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batool\Desktop\Transfered\FLT-1172\examples_floTherm\FloXML\Spreadsheets\"/>
    </mc:Choice>
  </mc:AlternateContent>
  <bookViews>
    <workbookView xWindow="-15" yWindow="6660" windowWidth="21840" windowHeight="6705"/>
  </bookViews>
  <sheets>
    <sheet name="Sheet1" sheetId="1" r:id="rId1"/>
    <sheet name="Sheet2" sheetId="4" r:id="rId2"/>
    <sheet name="sheet3" sheetId="2" r:id="rId3"/>
    <sheet name="Sheet4" sheetId="3" r:id="rId4"/>
  </sheets>
  <functionGroups builtInGroupCount="18"/>
  <calcPr calcId="152511"/>
</workbook>
</file>

<file path=xl/calcChain.xml><?xml version="1.0" encoding="utf-8"?>
<calcChain xmlns="http://schemas.openxmlformats.org/spreadsheetml/2006/main">
  <c r="E6" i="1" l="1"/>
  <c r="J6" i="1" s="1"/>
  <c r="E8" i="1"/>
  <c r="E9" i="1"/>
  <c r="E7" i="1"/>
</calcChain>
</file>

<file path=xl/sharedStrings.xml><?xml version="1.0" encoding="utf-8"?>
<sst xmlns="http://schemas.openxmlformats.org/spreadsheetml/2006/main" count="52" uniqueCount="43">
  <si>
    <t>Pressure Drop (Pa)</t>
  </si>
  <si>
    <t>Velocity (m/s)</t>
  </si>
  <si>
    <t>Number of data points</t>
  </si>
  <si>
    <t>A</t>
  </si>
  <si>
    <t>1/m</t>
  </si>
  <si>
    <t>B</t>
  </si>
  <si>
    <t>m</t>
  </si>
  <si>
    <t>Density</t>
  </si>
  <si>
    <t>Viscosity</t>
  </si>
  <si>
    <t>PDML File</t>
  </si>
  <si>
    <t>Save Options</t>
  </si>
  <si>
    <t>c:\Resistances</t>
  </si>
  <si>
    <t>PCB</t>
  </si>
  <si>
    <t>XML Name</t>
  </si>
  <si>
    <t>Output Folder</t>
  </si>
  <si>
    <t>PDML Bounding Box</t>
  </si>
  <si>
    <t>Windtunnel Results</t>
  </si>
  <si>
    <r>
      <t>X</t>
    </r>
    <r>
      <rPr>
        <b/>
        <vertAlign val="subscript"/>
        <sz val="14"/>
        <color theme="1"/>
        <rFont val="Calibri"/>
        <family val="2"/>
        <scheme val="minor"/>
      </rPr>
      <t>length</t>
    </r>
  </si>
  <si>
    <r>
      <t>Y</t>
    </r>
    <r>
      <rPr>
        <b/>
        <vertAlign val="subscript"/>
        <sz val="14"/>
        <color theme="1"/>
        <rFont val="Calibri"/>
        <family val="2"/>
        <scheme val="minor"/>
      </rPr>
      <t>length</t>
    </r>
  </si>
  <si>
    <r>
      <t>Z</t>
    </r>
    <r>
      <rPr>
        <b/>
        <vertAlign val="subscript"/>
        <sz val="14"/>
        <color theme="1"/>
        <rFont val="Calibri"/>
        <family val="2"/>
        <scheme val="minor"/>
      </rPr>
      <t>length</t>
    </r>
  </si>
  <si>
    <r>
      <t>kg/m</t>
    </r>
    <r>
      <rPr>
        <vertAlign val="superscript"/>
        <sz val="14"/>
        <color theme="1"/>
        <rFont val="Calibri"/>
        <family val="2"/>
        <scheme val="minor"/>
      </rPr>
      <t>3</t>
    </r>
  </si>
  <si>
    <r>
      <t>Ns/m</t>
    </r>
    <r>
      <rPr>
        <vertAlign val="superscript"/>
        <sz val="14"/>
        <color theme="1"/>
        <rFont val="Calibri"/>
        <family val="2"/>
        <scheme val="minor"/>
      </rPr>
      <t>2</t>
    </r>
  </si>
  <si>
    <r>
      <t>R</t>
    </r>
    <r>
      <rPr>
        <b/>
        <vertAlign val="superscript"/>
        <sz val="14"/>
        <color theme="1"/>
        <rFont val="Calibri"/>
        <family val="2"/>
        <scheme val="minor"/>
      </rPr>
      <t>2</t>
    </r>
  </si>
  <si>
    <t>Solved</t>
  </si>
  <si>
    <t>Instructions</t>
  </si>
  <si>
    <t>1. Determine the X, Y, Z bounding box dimensions of the geometry to be characterized and enter those dimensions in Cells F1, F2, F3.  Note, the windtunnel will always be moving air in the X-direction as per the diagram.</t>
  </si>
  <si>
    <t>2. Save the PDML file for the geometry to be characterized to disk, and type the path to this PDML file in Cell B3.</t>
  </si>
  <si>
    <t>3. Use the 'Check Model' button to inspect the complete windtunnel model.</t>
  </si>
  <si>
    <t>5. Use the 'Solve All' command to commence the solution of all the velocity scenarios</t>
  </si>
  <si>
    <t>6. Use the 'Create Compact Model' after all the solves are complete to build the XML resistance.</t>
  </si>
  <si>
    <t>Advanced Model Settings</t>
  </si>
  <si>
    <t>Upstream solution domain multiplier</t>
  </si>
  <si>
    <t>pdml assembly lengths upstream flow development extent</t>
  </si>
  <si>
    <t>Downstream solution domain multiplier</t>
  </si>
  <si>
    <t>pdml assembly lengths downstream flow development extent</t>
  </si>
  <si>
    <t>Grid size in X (flow) direction</t>
  </si>
  <si>
    <t>[m]</t>
  </si>
  <si>
    <t>Grid size in Y and Z (spanwise) direction</t>
  </si>
  <si>
    <t>MaxIts</t>
  </si>
  <si>
    <t>Maximum number of iterations to convergence</t>
  </si>
  <si>
    <t>4. Enter the air velocities to be considered in Column A</t>
  </si>
  <si>
    <t>C:\Program Files (x86)\MentorMA\flosuite_v122</t>
  </si>
  <si>
    <t>C:\Program Files (x86)\MentorMA\flosuite_v122\flotherm\examples\FloXML\Spreadsheets\pcb1.pdml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</si>
</sst>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000_);\(#,##0.00000\)"/>
  </numFmts>
  <fonts count="19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color indexed="63"/>
      <name val="Verdana"/>
      <family val="2"/>
    </font>
    <font>
      <b/>
      <sz val="12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sz val="14"/>
      <color rgb="FFEEECE1"/>
      <name val="Arial"/>
      <family val="2"/>
    </font>
    <font>
      <b/>
      <sz val="14"/>
      <color theme="1"/>
      <name val="Calibri"/>
      <family val="2"/>
      <scheme val="minor"/>
    </font>
    <font>
      <b/>
      <vertAlign val="subscript"/>
      <sz val="14"/>
      <color theme="1"/>
      <name val="Calibri"/>
      <family val="2"/>
      <scheme val="minor"/>
    </font>
    <font>
      <sz val="14"/>
      <name val="Arial"/>
      <family val="2"/>
    </font>
    <font>
      <i/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vertAlign val="superscript"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name val="Arial"/>
      <family val="2"/>
    </font>
    <font>
      <b/>
      <vertAlign val="superscript"/>
      <sz val="14"/>
      <color theme="1"/>
      <name val="Calibri"/>
      <family val="2"/>
      <scheme val="minor"/>
    </font>
    <font>
      <sz val="12"/>
      <name val="Arial"/>
      <family val="2"/>
    </font>
    <font>
      <b/>
      <sz val="2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/>
  </cellStyleXfs>
  <cellXfs count="86">
    <xf numFmtId="0" fontId="0" fillId="0" borderId="0" xfId="0"/>
    <xf numFmtId="0" fontId="3" fillId="0" borderId="0" xfId="0" applyFont="1"/>
    <xf numFmtId="164" fontId="0" fillId="0" borderId="0" xfId="0" applyNumberFormat="1"/>
    <xf numFmtId="2" fontId="0" fillId="0" borderId="0" xfId="0" applyNumberFormat="1" applyAlignment="1">
      <alignment horizontal="center"/>
    </xf>
    <xf numFmtId="0" fontId="5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Fill="1" applyBorder="1"/>
    <xf numFmtId="0" fontId="5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0" fillId="0" borderId="0" xfId="0" applyFill="1"/>
    <xf numFmtId="0" fontId="0" fillId="0" borderId="0" xfId="0" applyNumberFormat="1"/>
    <xf numFmtId="0" fontId="0" fillId="0" borderId="3" xfId="0" applyBorder="1"/>
    <xf numFmtId="0" fontId="0" fillId="0" borderId="0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4" fillId="0" borderId="0" xfId="0" applyFont="1" applyFill="1" applyAlignment="1">
      <alignment horizontal="center"/>
    </xf>
    <xf numFmtId="11" fontId="0" fillId="0" borderId="0" xfId="0" applyNumberFormat="1" applyFill="1" applyAlignment="1">
      <alignment horizontal="center"/>
    </xf>
    <xf numFmtId="0" fontId="0" fillId="0" borderId="4" xfId="0" applyBorder="1"/>
    <xf numFmtId="0" fontId="0" fillId="0" borderId="6" xfId="0" applyBorder="1"/>
    <xf numFmtId="0" fontId="7" fillId="0" borderId="0" xfId="0" applyFont="1" applyAlignment="1">
      <alignment horizontal="center" readingOrder="1"/>
    </xf>
    <xf numFmtId="0" fontId="0" fillId="0" borderId="0" xfId="0" applyNumberFormat="1" applyFill="1" applyAlignment="1">
      <alignment horizontal="center"/>
    </xf>
    <xf numFmtId="0" fontId="4" fillId="0" borderId="0" xfId="0" applyNumberFormat="1" applyFont="1" applyFill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0" fillId="0" borderId="4" xfId="0" applyFont="1" applyBorder="1"/>
    <xf numFmtId="0" fontId="8" fillId="0" borderId="0" xfId="0" applyFont="1" applyBorder="1" applyAlignment="1">
      <alignment horizontal="center"/>
    </xf>
    <xf numFmtId="0" fontId="11" fillId="0" borderId="6" xfId="0" applyFont="1" applyBorder="1"/>
    <xf numFmtId="0" fontId="8" fillId="0" borderId="7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3" xfId="0" applyFont="1" applyBorder="1"/>
    <xf numFmtId="11" fontId="12" fillId="0" borderId="2" xfId="0" applyNumberFormat="1" applyFont="1" applyFill="1" applyBorder="1" applyAlignment="1">
      <alignment horizontal="center"/>
    </xf>
    <xf numFmtId="0" fontId="8" fillId="0" borderId="4" xfId="0" applyFont="1" applyBorder="1" applyAlignment="1">
      <alignment horizontal="center"/>
    </xf>
    <xf numFmtId="11" fontId="12" fillId="0" borderId="0" xfId="0" applyNumberFormat="1" applyFont="1" applyBorder="1" applyAlignment="1">
      <alignment horizontal="center"/>
    </xf>
    <xf numFmtId="0" fontId="12" fillId="0" borderId="5" xfId="0" applyFont="1" applyBorder="1"/>
    <xf numFmtId="11" fontId="12" fillId="0" borderId="0" xfId="0" applyNumberFormat="1" applyFont="1" applyFill="1" applyBorder="1" applyAlignment="1">
      <alignment horizontal="center"/>
    </xf>
    <xf numFmtId="0" fontId="14" fillId="0" borderId="6" xfId="0" applyFont="1" applyFill="1" applyBorder="1" applyAlignment="1">
      <alignment horizontal="center"/>
    </xf>
    <xf numFmtId="0" fontId="12" fillId="0" borderId="7" xfId="0" applyFont="1" applyFill="1" applyBorder="1" applyAlignment="1">
      <alignment horizontal="center"/>
    </xf>
    <xf numFmtId="0" fontId="10" fillId="0" borderId="8" xfId="0" applyFont="1" applyFill="1" applyBorder="1"/>
    <xf numFmtId="11" fontId="12" fillId="0" borderId="7" xfId="0" applyNumberFormat="1" applyFont="1" applyFill="1" applyBorder="1" applyAlignment="1">
      <alignment horizontal="center"/>
    </xf>
    <xf numFmtId="0" fontId="12" fillId="0" borderId="8" xfId="0" applyFont="1" applyBorder="1"/>
    <xf numFmtId="0" fontId="15" fillId="0" borderId="0" xfId="0" applyFont="1" applyFill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0" fillId="2" borderId="2" xfId="0" applyFont="1" applyFill="1" applyBorder="1"/>
    <xf numFmtId="0" fontId="10" fillId="2" borderId="3" xfId="0" applyFont="1" applyFill="1" applyBorder="1"/>
    <xf numFmtId="0" fontId="8" fillId="2" borderId="4" xfId="0" applyFont="1" applyFill="1" applyBorder="1"/>
    <xf numFmtId="0" fontId="10" fillId="2" borderId="5" xfId="0" applyFont="1" applyFill="1" applyBorder="1"/>
    <xf numFmtId="0" fontId="8" fillId="2" borderId="4" xfId="0" applyFont="1" applyFill="1" applyBorder="1" applyAlignment="1">
      <alignment horizontal="center"/>
    </xf>
    <xf numFmtId="11" fontId="10" fillId="2" borderId="5" xfId="0" applyNumberFormat="1" applyFont="1" applyFill="1" applyBorder="1"/>
    <xf numFmtId="0" fontId="8" fillId="2" borderId="6" xfId="0" applyFont="1" applyFill="1" applyBorder="1" applyAlignment="1">
      <alignment horizontal="center"/>
    </xf>
    <xf numFmtId="0" fontId="10" fillId="2" borderId="8" xfId="0" applyFont="1" applyFill="1" applyBorder="1"/>
    <xf numFmtId="0" fontId="10" fillId="0" borderId="2" xfId="0" applyFont="1" applyBorder="1"/>
    <xf numFmtId="0" fontId="10" fillId="0" borderId="0" xfId="0" applyFont="1" applyBorder="1"/>
    <xf numFmtId="0" fontId="12" fillId="0" borderId="0" xfId="0" applyFont="1" applyFill="1"/>
    <xf numFmtId="0" fontId="12" fillId="0" borderId="0" xfId="0" applyFont="1"/>
    <xf numFmtId="0" fontId="12" fillId="0" borderId="0" xfId="0" applyNumberFormat="1" applyFont="1"/>
    <xf numFmtId="0" fontId="12" fillId="0" borderId="0" xfId="0" applyNumberFormat="1" applyFont="1" applyAlignment="1">
      <alignment horizontal="center"/>
    </xf>
    <xf numFmtId="0" fontId="14" fillId="0" borderId="0" xfId="0" applyNumberFormat="1" applyFont="1" applyAlignment="1">
      <alignment horizontal="center"/>
    </xf>
    <xf numFmtId="0" fontId="10" fillId="2" borderId="0" xfId="0" applyFont="1" applyFill="1" applyBorder="1" applyAlignment="1">
      <alignment horizontal="center"/>
    </xf>
    <xf numFmtId="11" fontId="10" fillId="2" borderId="0" xfId="0" applyNumberFormat="1" applyFont="1" applyFill="1" applyBorder="1" applyAlignment="1">
      <alignment horizontal="center"/>
    </xf>
    <xf numFmtId="0" fontId="10" fillId="2" borderId="7" xfId="0" applyFont="1" applyFill="1" applyBorder="1" applyAlignment="1">
      <alignment horizontal="center"/>
    </xf>
    <xf numFmtId="0" fontId="10" fillId="0" borderId="0" xfId="0" applyNumberFormat="1" applyFont="1" applyFill="1" applyAlignment="1">
      <alignment horizontal="center"/>
    </xf>
    <xf numFmtId="0" fontId="17" fillId="0" borderId="0" xfId="0" applyFont="1"/>
    <xf numFmtId="0" fontId="15" fillId="0" borderId="0" xfId="0" applyFont="1"/>
    <xf numFmtId="0" fontId="18" fillId="0" borderId="0" xfId="1" applyFont="1"/>
    <xf numFmtId="0" fontId="5" fillId="0" borderId="0" xfId="1"/>
    <xf numFmtId="0" fontId="5" fillId="0" borderId="9" xfId="1" applyFont="1" applyBorder="1"/>
    <xf numFmtId="0" fontId="5" fillId="0" borderId="10" xfId="1" applyBorder="1"/>
    <xf numFmtId="0" fontId="5" fillId="0" borderId="11" xfId="1" applyFont="1" applyBorder="1"/>
    <xf numFmtId="0" fontId="5" fillId="0" borderId="12" xfId="1" applyFont="1" applyBorder="1"/>
    <xf numFmtId="0" fontId="5" fillId="0" borderId="0" xfId="1" applyBorder="1"/>
    <xf numFmtId="0" fontId="5" fillId="0" borderId="13" xfId="1" applyFont="1" applyBorder="1"/>
    <xf numFmtId="0" fontId="5" fillId="0" borderId="14" xfId="1" applyFont="1" applyBorder="1"/>
    <xf numFmtId="0" fontId="5" fillId="0" borderId="15" xfId="1" applyBorder="1"/>
    <xf numFmtId="0" fontId="5" fillId="0" borderId="16" xfId="1" applyFont="1" applyBorder="1"/>
    <xf numFmtId="0" fontId="0" fillId="0" borderId="1" xfId="0" applyFill="1" applyBorder="1"/>
    <xf numFmtId="0" fontId="0" fillId="0" borderId="2" xfId="0" applyFill="1" applyBorder="1"/>
    <xf numFmtId="0" fontId="0" fillId="0" borderId="2" xfId="0" applyBorder="1"/>
    <xf numFmtId="0" fontId="0" fillId="0" borderId="4" xfId="0" applyFill="1" applyBorder="1"/>
    <xf numFmtId="0" fontId="0" fillId="0" borderId="6" xfId="0" applyFill="1" applyBorder="1"/>
    <xf numFmtId="0" fontId="0" fillId="0" borderId="7" xfId="0" applyFill="1" applyBorder="1"/>
    <xf numFmtId="0" fontId="10" fillId="3" borderId="0" xfId="0" applyFont="1" applyFill="1" applyBorder="1"/>
    <xf numFmtId="0" fontId="17" fillId="0" borderId="17" xfId="0" applyFont="1" applyBorder="1" applyAlignment="1"/>
    <xf numFmtId="0" fontId="17" fillId="0" borderId="18" xfId="0" applyFont="1" applyBorder="1" applyAlignment="1"/>
    <xf numFmtId="0" fontId="17" fillId="0" borderId="19" xfId="0" applyFont="1" applyBorder="1" applyAlignment="1"/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701040</xdr:colOff>
      <xdr:row>3</xdr:row>
      <xdr:rowOff>121920</xdr:rowOff>
    </xdr:from>
    <xdr:to>
      <xdr:col>2</xdr:col>
      <xdr:colOff>604520</xdr:colOff>
      <xdr:row>6</xdr:row>
      <xdr:rowOff>40639</xdr:rowOff>
    </xdr:to>
    <xdr:sp macro="[0]!create_and_solve_heatsink_models" textlink="">
      <xdr:nvSpPr>
        <xdr:cNvPr id="1026" name="Text Box 2"/>
        <xdr:cNvSpPr txBox="1">
          <a:spLocks noChangeArrowheads="1"/>
        </xdr:cNvSpPr>
      </xdr:nvSpPr>
      <xdr:spPr bwMode="auto">
        <a:xfrm>
          <a:off x="1818640" y="802640"/>
          <a:ext cx="1569720" cy="528319"/>
        </a:xfrm>
        <a:prstGeom prst="rect">
          <a:avLst/>
        </a:prstGeom>
        <a:solidFill>
          <a:schemeClr val="tx2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chemeClr val="bg2"/>
              </a:solidFill>
              <a:latin typeface="Arial"/>
              <a:cs typeface="Arial"/>
            </a:rPr>
            <a:t>Solve All </a:t>
          </a:r>
        </a:p>
      </xdr:txBody>
    </xdr:sp>
    <xdr:clientData/>
  </xdr:twoCellAnchor>
  <xdr:twoCellAnchor>
    <xdr:from>
      <xdr:col>3</xdr:col>
      <xdr:colOff>345440</xdr:colOff>
      <xdr:row>14</xdr:row>
      <xdr:rowOff>60960</xdr:rowOff>
    </xdr:from>
    <xdr:to>
      <xdr:col>5</xdr:col>
      <xdr:colOff>497840</xdr:colOff>
      <xdr:row>16</xdr:row>
      <xdr:rowOff>30480</xdr:rowOff>
    </xdr:to>
    <xdr:sp macro="[0]!CreateAdvancedResistance" textlink="">
      <xdr:nvSpPr>
        <xdr:cNvPr id="5" name="Text Box 2"/>
        <xdr:cNvSpPr txBox="1">
          <a:spLocks noChangeArrowheads="1"/>
        </xdr:cNvSpPr>
      </xdr:nvSpPr>
      <xdr:spPr bwMode="auto">
        <a:xfrm>
          <a:off x="4023360" y="2987040"/>
          <a:ext cx="2428240" cy="375920"/>
        </a:xfrm>
        <a:prstGeom prst="rect">
          <a:avLst/>
        </a:prstGeom>
        <a:solidFill>
          <a:schemeClr val="tx2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chemeClr val="bg2"/>
              </a:solidFill>
              <a:latin typeface="Arial"/>
              <a:cs typeface="Arial"/>
            </a:rPr>
            <a:t>Create Compact Model</a:t>
          </a:r>
        </a:p>
      </xdr:txBody>
    </xdr:sp>
    <xdr:clientData/>
  </xdr:twoCellAnchor>
  <xdr:twoCellAnchor>
    <xdr:from>
      <xdr:col>0</xdr:col>
      <xdr:colOff>142240</xdr:colOff>
      <xdr:row>3</xdr:row>
      <xdr:rowOff>121920</xdr:rowOff>
    </xdr:from>
    <xdr:to>
      <xdr:col>1</xdr:col>
      <xdr:colOff>594360</xdr:colOff>
      <xdr:row>6</xdr:row>
      <xdr:rowOff>50800</xdr:rowOff>
    </xdr:to>
    <xdr:sp macro="[0]!Loadintoflocore" textlink="">
      <xdr:nvSpPr>
        <xdr:cNvPr id="6" name="Text Box 2"/>
        <xdr:cNvSpPr txBox="1">
          <a:spLocks noChangeArrowheads="1"/>
        </xdr:cNvSpPr>
      </xdr:nvSpPr>
      <xdr:spPr bwMode="auto">
        <a:xfrm>
          <a:off x="142240" y="802640"/>
          <a:ext cx="1569720" cy="538480"/>
        </a:xfrm>
        <a:prstGeom prst="rect">
          <a:avLst/>
        </a:prstGeom>
        <a:solidFill>
          <a:schemeClr val="tx2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chemeClr val="bg2"/>
              </a:solidFill>
              <a:latin typeface="Arial"/>
              <a:cs typeface="Arial"/>
            </a:rPr>
            <a:t>Check Model</a:t>
          </a:r>
        </a:p>
      </xdr:txBody>
    </xdr:sp>
    <xdr:clientData/>
  </xdr:twoCellAnchor>
  <xdr:twoCellAnchor>
    <xdr:from>
      <xdr:col>7</xdr:col>
      <xdr:colOff>190500</xdr:colOff>
      <xdr:row>4</xdr:row>
      <xdr:rowOff>80963</xdr:rowOff>
    </xdr:from>
    <xdr:to>
      <xdr:col>17</xdr:col>
      <xdr:colOff>598963</xdr:colOff>
      <xdr:row>21</xdr:row>
      <xdr:rowOff>202407</xdr:rowOff>
    </xdr:to>
    <xdr:grpSp>
      <xdr:nvGrpSpPr>
        <xdr:cNvPr id="2" name="Group 1"/>
        <xdr:cNvGrpSpPr/>
      </xdr:nvGrpSpPr>
      <xdr:grpSpPr>
        <a:xfrm>
          <a:off x="8143875" y="1104901"/>
          <a:ext cx="7492682" cy="4229100"/>
          <a:chOff x="8481695" y="152400"/>
          <a:chExt cx="8452644" cy="4809649"/>
        </a:xfrm>
      </xdr:grpSpPr>
      <xdr:grpSp>
        <xdr:nvGrpSpPr>
          <xdr:cNvPr id="11" name="Group 10"/>
          <xdr:cNvGrpSpPr/>
        </xdr:nvGrpSpPr>
        <xdr:grpSpPr>
          <a:xfrm>
            <a:off x="8481695" y="152400"/>
            <a:ext cx="8452644" cy="4809649"/>
            <a:chOff x="8107680" y="152400"/>
            <a:chExt cx="8694420" cy="4000500"/>
          </a:xfrm>
        </xdr:grpSpPr>
        <xdr:pic>
          <xdr:nvPicPr>
            <xdr:cNvPr id="1027" name="Picture 3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/>
            <a:srcRect/>
            <a:stretch>
              <a:fillRect/>
            </a:stretch>
          </xdr:blipFill>
          <xdr:spPr bwMode="auto">
            <a:xfrm>
              <a:off x="8107680" y="152400"/>
              <a:ext cx="8694420" cy="4000500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</xdr:spPr>
        </xdr:pic>
        <xdr:pic>
          <xdr:nvPicPr>
            <xdr:cNvPr id="1028" name="Picture 4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" cstate="print"/>
            <a:srcRect/>
            <a:stretch>
              <a:fillRect/>
            </a:stretch>
          </xdr:blipFill>
          <xdr:spPr bwMode="auto">
            <a:xfrm>
              <a:off x="8524240" y="2296160"/>
              <a:ext cx="1815587" cy="1831340"/>
            </a:xfrm>
            <a:prstGeom prst="rect">
              <a:avLst/>
            </a:prstGeom>
            <a:noFill/>
            <a:ln w="1">
              <a:noFill/>
              <a:miter lim="800000"/>
              <a:headEnd/>
              <a:tailEnd type="none" w="med" len="med"/>
            </a:ln>
            <a:effectLst/>
          </xdr:spPr>
        </xdr:pic>
      </xdr:grpSp>
      <xdr:sp macro="" textlink="">
        <xdr:nvSpPr>
          <xdr:cNvPr id="13" name="TextBox 12"/>
          <xdr:cNvSpPr txBox="1"/>
        </xdr:nvSpPr>
        <xdr:spPr>
          <a:xfrm rot="1302657">
            <a:off x="14286149" y="1675878"/>
            <a:ext cx="2451487" cy="49657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algn="ctr"/>
            <a:r>
              <a:rPr lang="en-US" sz="1800"/>
              <a:t>X</a:t>
            </a:r>
            <a:r>
              <a:rPr lang="en-US" sz="1800" baseline="-25000"/>
              <a:t>LENGTH</a:t>
            </a:r>
          </a:p>
        </xdr:txBody>
      </xdr:sp>
      <xdr:sp macro="" textlink="">
        <xdr:nvSpPr>
          <xdr:cNvPr id="14" name="TextBox 13"/>
          <xdr:cNvSpPr txBox="1"/>
        </xdr:nvSpPr>
        <xdr:spPr>
          <a:xfrm rot="20894123">
            <a:off x="14397831" y="3503615"/>
            <a:ext cx="1492885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algn="ctr"/>
            <a:r>
              <a:rPr lang="en-US" sz="1800" baseline="0"/>
              <a:t>Y</a:t>
            </a:r>
            <a:r>
              <a:rPr lang="en-US" sz="1800" baseline="-25000"/>
              <a:t>LENGTH</a:t>
            </a:r>
          </a:p>
        </xdr:txBody>
      </xdr:sp>
      <xdr:sp macro="" textlink="">
        <xdr:nvSpPr>
          <xdr:cNvPr id="15" name="TextBox 14"/>
          <xdr:cNvSpPr txBox="1"/>
        </xdr:nvSpPr>
        <xdr:spPr>
          <a:xfrm>
            <a:off x="12191826" y="3841998"/>
            <a:ext cx="1300163" cy="5186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algn="ctr"/>
            <a:r>
              <a:rPr lang="en-US" sz="1800" baseline="0"/>
              <a:t>Z</a:t>
            </a:r>
            <a:r>
              <a:rPr lang="en-US" sz="1800" baseline="-25000"/>
              <a:t>LENGTH</a:t>
            </a:r>
          </a:p>
        </xdr:txBody>
      </xdr:sp>
      <xdr:cxnSp macro="">
        <xdr:nvCxnSpPr>
          <xdr:cNvPr id="17" name="Straight Arrow Connector 16"/>
          <xdr:cNvCxnSpPr/>
        </xdr:nvCxnSpPr>
        <xdr:spPr>
          <a:xfrm>
            <a:off x="14179550" y="1591628"/>
            <a:ext cx="2411889" cy="1089818"/>
          </a:xfrm>
          <a:prstGeom prst="straightConnector1">
            <a:avLst/>
          </a:prstGeom>
          <a:ln>
            <a:solidFill>
              <a:schemeClr val="tx1"/>
            </a:solidFill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Arrow Connector 17"/>
          <xdr:cNvCxnSpPr/>
        </xdr:nvCxnSpPr>
        <xdr:spPr>
          <a:xfrm flipV="1">
            <a:off x="13380850" y="3057843"/>
            <a:ext cx="3362989" cy="893935"/>
          </a:xfrm>
          <a:prstGeom prst="straightConnector1">
            <a:avLst/>
          </a:prstGeom>
          <a:ln>
            <a:solidFill>
              <a:schemeClr val="tx1"/>
            </a:solidFill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Straight Arrow Connector 21"/>
          <xdr:cNvCxnSpPr/>
        </xdr:nvCxnSpPr>
        <xdr:spPr>
          <a:xfrm flipH="1">
            <a:off x="13201192" y="3841686"/>
            <a:ext cx="4130" cy="287686"/>
          </a:xfrm>
          <a:prstGeom prst="straightConnector1">
            <a:avLst/>
          </a:prstGeom>
          <a:ln>
            <a:solidFill>
              <a:schemeClr val="tx1"/>
            </a:solidFill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367665</xdr:colOff>
      <xdr:row>0</xdr:row>
      <xdr:rowOff>98107</xdr:rowOff>
    </xdr:from>
    <xdr:to>
      <xdr:col>9</xdr:col>
      <xdr:colOff>449739</xdr:colOff>
      <xdr:row>2</xdr:row>
      <xdr:rowOff>159701</xdr:rowOff>
    </xdr:to>
    <xdr:sp macro="[0]!change_install_path" textlink="">
      <xdr:nvSpPr>
        <xdr:cNvPr id="16" name="Text Box 2"/>
        <xdr:cNvSpPr txBox="1">
          <a:spLocks noChangeArrowheads="1"/>
        </xdr:cNvSpPr>
      </xdr:nvSpPr>
      <xdr:spPr bwMode="auto">
        <a:xfrm>
          <a:off x="8321040" y="98107"/>
          <a:ext cx="1522730" cy="609282"/>
        </a:xfrm>
        <a:prstGeom prst="rect">
          <a:avLst/>
        </a:prstGeom>
        <a:solidFill>
          <a:schemeClr val="tx2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chemeClr val="bg2"/>
              </a:solidFill>
              <a:latin typeface="Arial"/>
              <a:cs typeface="Arial"/>
            </a:rPr>
            <a:t>Install Path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31"/>
  <sheetViews>
    <sheetView tabSelected="1" zoomScale="80" zoomScaleNormal="80" workbookViewId="0">
      <selection activeCell="B8" sqref="B8"/>
    </sheetView>
  </sheetViews>
  <sheetFormatPr defaultRowHeight="12.75" x14ac:dyDescent="0.2"/>
  <cols>
    <col min="1" max="1" width="16.28515625" customWidth="1"/>
    <col min="2" max="2" width="24.28515625" customWidth="1"/>
    <col min="3" max="3" width="13" customWidth="1"/>
    <col min="4" max="4" width="25.28515625" customWidth="1"/>
    <col min="5" max="5" width="16.7109375" customWidth="1"/>
    <col min="6" max="6" width="13.28515625" customWidth="1"/>
    <col min="7" max="7" width="10.28515625" customWidth="1"/>
    <col min="8" max="8" width="11" customWidth="1"/>
    <col min="9" max="9" width="10.5703125" customWidth="1"/>
    <col min="10" max="10" width="10.85546875" customWidth="1"/>
    <col min="11" max="11" width="10" customWidth="1"/>
    <col min="12" max="12" width="10.140625" customWidth="1"/>
    <col min="13" max="13" width="11" customWidth="1"/>
    <col min="14" max="14" width="10.7109375" customWidth="1"/>
    <col min="15" max="15" width="10.5703125" customWidth="1"/>
    <col min="16" max="16" width="10.85546875" customWidth="1"/>
    <col min="17" max="17" width="10.42578125" customWidth="1"/>
    <col min="18" max="19" width="10.28515625" customWidth="1"/>
    <col min="20" max="20" width="10.85546875" customWidth="1"/>
    <col min="21" max="21" width="10.5703125" customWidth="1"/>
  </cols>
  <sheetData>
    <row r="1" spans="1:21" ht="21.75" x14ac:dyDescent="0.35">
      <c r="A1" s="24" t="s">
        <v>7</v>
      </c>
      <c r="B1" s="30">
        <v>1.1599999999999999</v>
      </c>
      <c r="C1" s="31" t="s">
        <v>20</v>
      </c>
      <c r="D1" s="24" t="s">
        <v>15</v>
      </c>
      <c r="E1" s="25" t="s">
        <v>17</v>
      </c>
      <c r="F1" s="32">
        <v>9.9059999999999995E-2</v>
      </c>
      <c r="G1" s="31" t="s">
        <v>6</v>
      </c>
      <c r="H1" s="76"/>
      <c r="I1" s="77"/>
      <c r="J1" s="78"/>
      <c r="K1" s="78"/>
      <c r="L1" s="78"/>
      <c r="M1" s="78"/>
      <c r="N1" s="78"/>
      <c r="O1" s="78"/>
      <c r="P1" s="78"/>
      <c r="Q1" s="12"/>
    </row>
    <row r="2" spans="1:21" ht="21.75" x14ac:dyDescent="0.35">
      <c r="A2" s="33" t="s">
        <v>8</v>
      </c>
      <c r="B2" s="34">
        <v>1.84E-5</v>
      </c>
      <c r="C2" s="35" t="s">
        <v>21</v>
      </c>
      <c r="D2" s="26"/>
      <c r="E2" s="27" t="s">
        <v>18</v>
      </c>
      <c r="F2" s="36">
        <v>9.1948000000000002E-2</v>
      </c>
      <c r="G2" s="35" t="s">
        <v>6</v>
      </c>
      <c r="H2" s="79"/>
      <c r="I2" s="6"/>
      <c r="J2" s="13"/>
      <c r="K2" s="83" t="s">
        <v>41</v>
      </c>
      <c r="L2" s="84"/>
      <c r="M2" s="84"/>
      <c r="N2" s="84"/>
      <c r="O2" s="84"/>
      <c r="P2" s="85"/>
      <c r="Q2" s="14"/>
    </row>
    <row r="3" spans="1:21" ht="21" thickBot="1" x14ac:dyDescent="0.4">
      <c r="A3" s="37" t="s">
        <v>9</v>
      </c>
      <c r="B3" s="38" t="s">
        <v>42</v>
      </c>
      <c r="C3" s="39"/>
      <c r="D3" s="28"/>
      <c r="E3" s="29" t="s">
        <v>19</v>
      </c>
      <c r="F3" s="40">
        <v>4.8608000000000002E-3</v>
      </c>
      <c r="G3" s="41" t="s">
        <v>6</v>
      </c>
      <c r="H3" s="80"/>
      <c r="I3" s="81"/>
      <c r="J3" s="15"/>
      <c r="K3" s="15"/>
      <c r="L3" s="15"/>
      <c r="M3" s="15"/>
      <c r="N3" s="15"/>
      <c r="O3" s="15"/>
      <c r="P3" s="15"/>
      <c r="Q3" s="16"/>
    </row>
    <row r="4" spans="1:21" ht="16.5" thickBot="1" x14ac:dyDescent="0.3">
      <c r="A4" s="17"/>
      <c r="B4" s="18"/>
    </row>
    <row r="5" spans="1:21" ht="18.75" x14ac:dyDescent="0.3">
      <c r="A5" s="17"/>
      <c r="B5" s="18"/>
      <c r="D5" s="43" t="s">
        <v>16</v>
      </c>
      <c r="E5" s="44"/>
      <c r="F5" s="45"/>
      <c r="H5" s="1"/>
    </row>
    <row r="6" spans="1:21" ht="18.75" x14ac:dyDescent="0.3">
      <c r="A6" s="17"/>
      <c r="B6" s="18"/>
      <c r="D6" s="46" t="s">
        <v>2</v>
      </c>
      <c r="E6" s="59">
        <f>COUNT(B9:B7001)</f>
        <v>6</v>
      </c>
      <c r="F6" s="47"/>
      <c r="G6" s="8"/>
      <c r="H6" s="8"/>
      <c r="I6" s="8"/>
      <c r="J6">
        <f>E6+5</f>
        <v>11</v>
      </c>
      <c r="K6" s="8"/>
      <c r="L6" s="8"/>
      <c r="M6" s="8"/>
      <c r="N6" s="7"/>
      <c r="O6" s="7"/>
      <c r="P6" s="7"/>
      <c r="Q6" s="7"/>
      <c r="R6" s="7"/>
      <c r="S6" s="7"/>
      <c r="T6" s="7"/>
      <c r="U6" s="7"/>
    </row>
    <row r="7" spans="1:21" ht="18.75" x14ac:dyDescent="0.3">
      <c r="D7" s="48" t="s">
        <v>3</v>
      </c>
      <c r="E7" s="60">
        <f ca="1">IF(F1=0,INDEX(LINEST(INDIRECT("b9:b"&amp;J6&amp;""),INDIRECT("A9:A"&amp;J6&amp;"")^{1,2},FALSE,TRUE),1,2)*2/$B$2,INDEX(LINEST(INDIRECT("b9:b"&amp;J6&amp;""),INDIRECT("A9:A"&amp;J6&amp;"")^{1,2},FALSE,TRUE),1,2)*2/$B$2/$F$1)</f>
        <v>3705365.9086488509</v>
      </c>
      <c r="F7" s="49" t="s">
        <v>4</v>
      </c>
    </row>
    <row r="8" spans="1:21" ht="18.75" x14ac:dyDescent="0.3">
      <c r="A8" s="17" t="s">
        <v>1</v>
      </c>
      <c r="B8" s="17" t="s">
        <v>0</v>
      </c>
      <c r="C8" s="10"/>
      <c r="D8" s="48" t="s">
        <v>5</v>
      </c>
      <c r="E8" s="59">
        <f ca="1">IF(F1=0,INDEX(LINEST(INDIRECT("b9:b"&amp;J6&amp;""),INDIRECT("A9:A"&amp;J6&amp;"")^{1,2},FALSE,TRUE),1,1)*2/$B$1,INDEX(LINEST(INDIRECT("b9:b"&amp;J6&amp;""),INDIRECT("A9:A"&amp;J6&amp;"")^{1,2},FALSE,TRUE),1,1)*2/$B$1/$F$1)</f>
        <v>75.142491873703548</v>
      </c>
      <c r="F8" s="47" t="s">
        <v>4</v>
      </c>
    </row>
    <row r="9" spans="1:21" ht="21.75" thickBot="1" x14ac:dyDescent="0.35">
      <c r="A9" s="42">
        <v>0.5</v>
      </c>
      <c r="B9" s="62">
        <v>2.5299999999999998</v>
      </c>
      <c r="C9" s="54" t="s">
        <v>23</v>
      </c>
      <c r="D9" s="50" t="s">
        <v>22</v>
      </c>
      <c r="E9" s="61">
        <f ca="1">INDEX(LINEST(INDIRECT("b9:b"&amp;J6&amp;""),INDIRECT("A9:A"&amp;J6&amp;"")^{1,2},FALSE,TRUE),3,1)</f>
        <v>0.99958182055933209</v>
      </c>
      <c r="F9" s="51"/>
      <c r="J9" s="21"/>
    </row>
    <row r="10" spans="1:21" ht="18.75" x14ac:dyDescent="0.3">
      <c r="A10" s="42">
        <v>1</v>
      </c>
      <c r="B10" s="62">
        <v>7.9319600000000001</v>
      </c>
      <c r="C10" s="54" t="s">
        <v>23</v>
      </c>
    </row>
    <row r="11" spans="1:21" ht="19.5" thickBot="1" x14ac:dyDescent="0.35">
      <c r="A11" s="42">
        <v>1.5</v>
      </c>
      <c r="B11" s="62">
        <v>14.7</v>
      </c>
      <c r="C11" s="54" t="s">
        <v>23</v>
      </c>
    </row>
    <row r="12" spans="1:21" ht="18.75" x14ac:dyDescent="0.3">
      <c r="A12" s="42">
        <v>2</v>
      </c>
      <c r="B12" s="62">
        <v>25.28</v>
      </c>
      <c r="C12" s="54" t="s">
        <v>23</v>
      </c>
      <c r="D12" s="24" t="s">
        <v>10</v>
      </c>
      <c r="E12" s="52"/>
      <c r="F12" s="12"/>
    </row>
    <row r="13" spans="1:21" ht="18.75" x14ac:dyDescent="0.3">
      <c r="A13" s="42">
        <v>2.5</v>
      </c>
      <c r="B13" s="62">
        <v>38.22</v>
      </c>
      <c r="C13" s="54" t="s">
        <v>23</v>
      </c>
      <c r="D13" s="33" t="s">
        <v>13</v>
      </c>
      <c r="E13" s="53" t="s">
        <v>12</v>
      </c>
      <c r="F13" s="14"/>
    </row>
    <row r="14" spans="1:21" ht="18.75" x14ac:dyDescent="0.3">
      <c r="A14" s="42">
        <v>3</v>
      </c>
      <c r="B14" s="62">
        <v>54.04</v>
      </c>
      <c r="C14" s="54" t="s">
        <v>23</v>
      </c>
      <c r="D14" s="33" t="s">
        <v>14</v>
      </c>
      <c r="E14" s="82" t="s">
        <v>11</v>
      </c>
      <c r="F14" s="14"/>
    </row>
    <row r="15" spans="1:21" ht="18.75" x14ac:dyDescent="0.3">
      <c r="A15" s="17"/>
      <c r="B15" s="5"/>
      <c r="C15" s="55"/>
      <c r="D15" s="19"/>
      <c r="E15" s="13"/>
      <c r="F15" s="14"/>
    </row>
    <row r="16" spans="1:21" ht="18.75" x14ac:dyDescent="0.3">
      <c r="A16" s="17"/>
      <c r="B16" s="5"/>
      <c r="C16" s="55"/>
      <c r="D16" s="19"/>
      <c r="E16" s="13"/>
      <c r="F16" s="14"/>
    </row>
    <row r="17" spans="2:21" ht="19.5" thickBot="1" x14ac:dyDescent="0.35">
      <c r="B17" s="5"/>
      <c r="C17" s="55"/>
      <c r="D17" s="20"/>
      <c r="E17" s="15"/>
      <c r="F17" s="16"/>
    </row>
    <row r="18" spans="2:21" ht="18.75" x14ac:dyDescent="0.3">
      <c r="B18" s="23"/>
      <c r="C18" s="56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ht="18.75" x14ac:dyDescent="0.3">
      <c r="B19" s="23"/>
      <c r="C19" s="56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ht="18.75" x14ac:dyDescent="0.3">
      <c r="B20" s="22"/>
      <c r="C20" s="57"/>
      <c r="D20" s="4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</row>
    <row r="21" spans="2:21" ht="18.75" x14ac:dyDescent="0.3">
      <c r="B21" s="23"/>
      <c r="C21" s="58"/>
      <c r="D21" s="9"/>
      <c r="E21" s="9"/>
      <c r="F21" s="9"/>
      <c r="G21" s="9"/>
      <c r="H21" s="9"/>
      <c r="I21" s="9"/>
      <c r="J21" s="9"/>
      <c r="K21" s="9"/>
      <c r="L21" s="9"/>
      <c r="M21" s="9"/>
      <c r="N21" s="3"/>
      <c r="O21" s="3"/>
      <c r="P21" s="3"/>
      <c r="Q21" s="3"/>
      <c r="R21" s="3"/>
      <c r="S21" s="3"/>
      <c r="T21" s="3"/>
      <c r="U21" s="3"/>
    </row>
    <row r="22" spans="2:21" ht="18.75" x14ac:dyDescent="0.3">
      <c r="B22" s="23"/>
      <c r="C22" s="58"/>
      <c r="D22" s="9"/>
      <c r="E22" s="9"/>
      <c r="F22" s="9"/>
      <c r="G22" s="9"/>
      <c r="H22" s="9"/>
      <c r="I22" s="9"/>
      <c r="J22" s="9"/>
      <c r="K22" s="9"/>
      <c r="L22" s="9"/>
      <c r="M22" s="9"/>
      <c r="N22" s="3"/>
      <c r="O22" s="3"/>
      <c r="P22" s="3"/>
      <c r="Q22" s="3"/>
      <c r="R22" s="3"/>
      <c r="S22" s="3"/>
      <c r="T22" s="3"/>
      <c r="U22" s="3"/>
    </row>
    <row r="23" spans="2:21" ht="18.75" x14ac:dyDescent="0.3">
      <c r="B23" s="5"/>
      <c r="C23" s="56"/>
      <c r="D23" s="64" t="s">
        <v>24</v>
      </c>
    </row>
    <row r="24" spans="2:21" ht="18.75" x14ac:dyDescent="0.3">
      <c r="B24" s="5"/>
      <c r="C24" s="56"/>
      <c r="D24" s="63" t="s">
        <v>25</v>
      </c>
    </row>
    <row r="25" spans="2:21" ht="18.75" x14ac:dyDescent="0.3">
      <c r="B25" s="5"/>
      <c r="C25" s="56"/>
      <c r="D25" s="63" t="s">
        <v>26</v>
      </c>
    </row>
    <row r="26" spans="2:21" ht="18.75" x14ac:dyDescent="0.3">
      <c r="B26" s="5"/>
      <c r="C26" s="56"/>
      <c r="D26" s="63" t="s">
        <v>27</v>
      </c>
    </row>
    <row r="27" spans="2:21" ht="18.75" x14ac:dyDescent="0.3">
      <c r="B27" s="5"/>
      <c r="C27" s="55"/>
      <c r="D27" s="63" t="s">
        <v>40</v>
      </c>
    </row>
    <row r="28" spans="2:21" ht="18.75" x14ac:dyDescent="0.3">
      <c r="B28" s="5"/>
      <c r="C28" s="55"/>
      <c r="D28" s="63" t="s">
        <v>28</v>
      </c>
    </row>
    <row r="29" spans="2:21" ht="15" x14ac:dyDescent="0.2">
      <c r="B29" s="11"/>
      <c r="D29" s="63" t="s">
        <v>29</v>
      </c>
    </row>
    <row r="30" spans="2:21" x14ac:dyDescent="0.2">
      <c r="B30" s="11"/>
    </row>
    <row r="31" spans="2:21" x14ac:dyDescent="0.2">
      <c r="B31" s="11"/>
    </row>
  </sheetData>
  <mergeCells count="1">
    <mergeCell ref="K2:P2"/>
  </mergeCells>
  <phoneticPr fontId="1" type="noConversion"/>
  <pageMargins left="0.75" right="0.75" top="1" bottom="1" header="0.5" footer="0.5"/>
  <pageSetup orientation="portrait" horizontalDpi="4294967293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7"/>
  <sheetViews>
    <sheetView workbookViewId="0">
      <selection activeCell="B8" sqref="B8"/>
    </sheetView>
  </sheetViews>
  <sheetFormatPr defaultColWidth="9.140625" defaultRowHeight="12.75" x14ac:dyDescent="0.2"/>
  <cols>
    <col min="1" max="1" width="33.5703125" style="66" bestFit="1" customWidth="1"/>
    <col min="2" max="2" width="9.140625" style="66"/>
    <col min="3" max="3" width="52.42578125" style="66" bestFit="1" customWidth="1"/>
    <col min="4" max="16384" width="9.140625" style="66"/>
  </cols>
  <sheetData>
    <row r="1" spans="1:3" ht="26.25" x14ac:dyDescent="0.4">
      <c r="A1" s="65" t="s">
        <v>30</v>
      </c>
    </row>
    <row r="3" spans="1:3" x14ac:dyDescent="0.2">
      <c r="A3" s="67" t="s">
        <v>31</v>
      </c>
      <c r="B3" s="68">
        <v>3</v>
      </c>
      <c r="C3" s="69" t="s">
        <v>32</v>
      </c>
    </row>
    <row r="4" spans="1:3" x14ac:dyDescent="0.2">
      <c r="A4" s="70" t="s">
        <v>33</v>
      </c>
      <c r="B4" s="71">
        <v>10</v>
      </c>
      <c r="C4" s="72" t="s">
        <v>34</v>
      </c>
    </row>
    <row r="5" spans="1:3" x14ac:dyDescent="0.2">
      <c r="A5" s="70" t="s">
        <v>35</v>
      </c>
      <c r="B5" s="71">
        <v>0.01</v>
      </c>
      <c r="C5" s="72" t="s">
        <v>36</v>
      </c>
    </row>
    <row r="6" spans="1:3" x14ac:dyDescent="0.2">
      <c r="A6" s="70" t="s">
        <v>37</v>
      </c>
      <c r="B6" s="71">
        <v>1E-3</v>
      </c>
      <c r="C6" s="72" t="s">
        <v>36</v>
      </c>
    </row>
    <row r="7" spans="1:3" x14ac:dyDescent="0.2">
      <c r="A7" s="73" t="s">
        <v>38</v>
      </c>
      <c r="B7" s="74">
        <v>100</v>
      </c>
      <c r="C7" s="75" t="s">
        <v>39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>MGC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Folded Fin Heat Sink Characterization</dc:title>
  <dc:creator>Byron Blackmore</dc:creator>
  <dc:description>This spreadsheet creates a windtunnel XML project for each air speed provided.  The PDML model is solved for each case and the results extracted can be used to create an advanced resistance object.</dc:description>
  <cp:lastModifiedBy>Batool, Haider</cp:lastModifiedBy>
  <dcterms:created xsi:type="dcterms:W3CDTF">2004-01-07T21:02:37Z</dcterms:created>
  <dcterms:modified xsi:type="dcterms:W3CDTF">2018-08-22T11:48:02Z</dcterms:modified>
</cp:coreProperties>
</file>