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gram Files\Siemens\SimcenterFlotherm\2504\examples\FloXML\Spreadsheets\"/>
    </mc:Choice>
  </mc:AlternateContent>
  <xr:revisionPtr revIDLastSave="0" documentId="13_ncr:1_{68894B76-3456-416C-99DF-63CE742EC7F6}" xr6:coauthVersionLast="47" xr6:coauthVersionMax="47" xr10:uidLastSave="{00000000-0000-0000-0000-000000000000}"/>
  <bookViews>
    <workbookView xWindow="7337" yWindow="4449" windowWidth="24686" windowHeight="13054" xr2:uid="{00000000-000D-0000-FFFF-FFFF00000000}"/>
  </bookViews>
  <sheets>
    <sheet name="Sheet1" sheetId="1" r:id="rId1"/>
    <sheet name="Sheet2" sheetId="2" r:id="rId2"/>
    <sheet name="Sheet3" sheetId="3" r:id="rId3"/>
  </sheets>
  <calcPr calcId="191029"/>
</workbook>
</file>

<file path=xl/calcChain.xml><?xml version="1.0" encoding="utf-8"?>
<calcChain xmlns="http://schemas.openxmlformats.org/spreadsheetml/2006/main">
  <c r="H16" i="1" l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E6" i="1" l="1"/>
  <c r="J6" i="1" s="1"/>
  <c r="E8" i="1"/>
  <c r="H15" i="1" l="1"/>
  <c r="E7" i="1"/>
  <c r="E9" i="1"/>
  <c r="H11" i="1" l="1"/>
  <c r="H10" i="1"/>
  <c r="H14" i="1"/>
  <c r="H9" i="1"/>
  <c r="H13" i="1"/>
  <c r="H6" i="1"/>
  <c r="H8" i="1"/>
  <c r="H12" i="1"/>
  <c r="H7" i="1"/>
</calcChain>
</file>

<file path=xl/sharedStrings.xml><?xml version="1.0" encoding="utf-8"?>
<sst xmlns="http://schemas.openxmlformats.org/spreadsheetml/2006/main" count="27" uniqueCount="24">
  <si>
    <t>Density</t>
  </si>
  <si>
    <t>Viscosity</t>
  </si>
  <si>
    <t>Results</t>
  </si>
  <si>
    <t>Number of data points</t>
  </si>
  <si>
    <t>A</t>
  </si>
  <si>
    <t>B</t>
  </si>
  <si>
    <t>Velocity (m/s)</t>
  </si>
  <si>
    <t>Pressure (Pa)</t>
  </si>
  <si>
    <r>
      <t>kg/m</t>
    </r>
    <r>
      <rPr>
        <vertAlign val="superscript"/>
        <sz val="10"/>
        <color theme="1"/>
        <rFont val="宋体"/>
        <family val="2"/>
        <scheme val="minor"/>
      </rPr>
      <t>3</t>
    </r>
  </si>
  <si>
    <t>1/m</t>
  </si>
  <si>
    <t>Geometry</t>
  </si>
  <si>
    <t>m</t>
  </si>
  <si>
    <r>
      <t>Ns/m</t>
    </r>
    <r>
      <rPr>
        <vertAlign val="superscript"/>
        <sz val="11"/>
        <color theme="1"/>
        <rFont val="宋体"/>
        <family val="2"/>
        <scheme val="minor"/>
      </rPr>
      <t>2</t>
    </r>
  </si>
  <si>
    <r>
      <t>R</t>
    </r>
    <r>
      <rPr>
        <b/>
        <vertAlign val="superscript"/>
        <sz val="11"/>
        <color theme="1"/>
        <rFont val="宋体"/>
        <family val="2"/>
        <scheme val="minor"/>
      </rPr>
      <t>2</t>
    </r>
  </si>
  <si>
    <t>Save Options</t>
  </si>
  <si>
    <t>Name</t>
  </si>
  <si>
    <t>Library Folder</t>
  </si>
  <si>
    <t>c:\Resistances</t>
  </si>
  <si>
    <r>
      <t>X</t>
    </r>
    <r>
      <rPr>
        <b/>
        <vertAlign val="subscript"/>
        <sz val="11"/>
        <color theme="1"/>
        <rFont val="宋体"/>
        <family val="2"/>
        <scheme val="minor"/>
      </rPr>
      <t>length</t>
    </r>
  </si>
  <si>
    <r>
      <t>Y</t>
    </r>
    <r>
      <rPr>
        <b/>
        <vertAlign val="subscript"/>
        <sz val="11"/>
        <color theme="1"/>
        <rFont val="宋体"/>
        <family val="2"/>
        <scheme val="minor"/>
      </rPr>
      <t>length</t>
    </r>
  </si>
  <si>
    <r>
      <t>Z</t>
    </r>
    <r>
      <rPr>
        <b/>
        <vertAlign val="subscript"/>
        <sz val="11"/>
        <color theme="1"/>
        <rFont val="宋体"/>
        <family val="2"/>
        <scheme val="minor"/>
      </rPr>
      <t>length</t>
    </r>
  </si>
  <si>
    <r>
      <t>If planar, set Z</t>
    </r>
    <r>
      <rPr>
        <i/>
        <vertAlign val="subscript"/>
        <sz val="11"/>
        <color theme="1"/>
        <rFont val="宋体"/>
        <family val="2"/>
        <scheme val="minor"/>
      </rPr>
      <t>length</t>
    </r>
    <r>
      <rPr>
        <i/>
        <sz val="11"/>
        <color theme="1"/>
        <rFont val="宋体"/>
        <family val="2"/>
        <scheme val="minor"/>
      </rPr>
      <t xml:space="preserve"> to 0</t>
    </r>
  </si>
  <si>
    <t>Curve Fit Pressure (Pa)</t>
  </si>
  <si>
    <t>Vent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</si>
</sst>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vertAlign val="superscript"/>
      <sz val="10"/>
      <color theme="1"/>
      <name val="宋体"/>
      <family val="2"/>
      <scheme val="minor"/>
    </font>
    <font>
      <vertAlign val="superscript"/>
      <sz val="11"/>
      <color theme="1"/>
      <name val="宋体"/>
      <family val="2"/>
      <scheme val="minor"/>
    </font>
    <font>
      <b/>
      <vertAlign val="superscript"/>
      <sz val="11"/>
      <color theme="1"/>
      <name val="宋体"/>
      <family val="2"/>
      <scheme val="minor"/>
    </font>
    <font>
      <b/>
      <vertAlign val="subscript"/>
      <sz val="11"/>
      <color theme="1"/>
      <name val="宋体"/>
      <family val="2"/>
      <scheme val="minor"/>
    </font>
    <font>
      <i/>
      <sz val="11"/>
      <color theme="1"/>
      <name val="宋体"/>
      <family val="2"/>
      <scheme val="minor"/>
    </font>
    <font>
      <i/>
      <vertAlign val="subscript"/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11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6" xfId="0" applyBorder="1"/>
    <xf numFmtId="11" fontId="0" fillId="0" borderId="7" xfId="0" applyNumberFormat="1" applyBorder="1"/>
    <xf numFmtId="0" fontId="1" fillId="0" borderId="0" xfId="0" applyFont="1"/>
    <xf numFmtId="0" fontId="1" fillId="0" borderId="2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6" fillId="0" borderId="6" xfId="0" applyFont="1" applyBorder="1"/>
    <xf numFmtId="0" fontId="1" fillId="0" borderId="4" xfId="0" applyFont="1" applyBorder="1" applyAlignment="1">
      <alignment horizontal="center"/>
    </xf>
    <xf numFmtId="0" fontId="1" fillId="0" borderId="4" xfId="0" applyFont="1" applyBorder="1"/>
    <xf numFmtId="11" fontId="0" fillId="0" borderId="5" xfId="0" applyNumberFormat="1" applyBorder="1"/>
    <xf numFmtId="0" fontId="6" fillId="0" borderId="0" xfId="0" applyFont="1"/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Input Data</c:v>
          </c:tx>
          <c:spPr>
            <a:ln w="28575">
              <a:noFill/>
            </a:ln>
          </c:spPr>
          <c:marker>
            <c:symbol val="diamond"/>
            <c:size val="9"/>
            <c:spPr>
              <a:noFill/>
            </c:spPr>
          </c:marker>
          <c:xVal>
            <c:numRef>
              <c:f>Sheet1!$A$6:$A$101</c:f>
              <c:numCache>
                <c:formatCode>General</c:formatCode>
                <c:ptCount val="96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</c:numCache>
            </c:numRef>
          </c:xVal>
          <c:yVal>
            <c:numRef>
              <c:f>Sheet1!$B$6:$B$101</c:f>
              <c:numCache>
                <c:formatCode>General</c:formatCode>
                <c:ptCount val="96"/>
                <c:pt idx="0">
                  <c:v>0</c:v>
                </c:pt>
                <c:pt idx="1">
                  <c:v>2.41</c:v>
                </c:pt>
                <c:pt idx="2">
                  <c:v>7.66</c:v>
                </c:pt>
                <c:pt idx="3">
                  <c:v>15.52</c:v>
                </c:pt>
                <c:pt idx="4">
                  <c:v>25.92</c:v>
                </c:pt>
                <c:pt idx="5">
                  <c:v>39.07</c:v>
                </c:pt>
                <c:pt idx="6">
                  <c:v>54.76</c:v>
                </c:pt>
                <c:pt idx="7">
                  <c:v>72.709999999999994</c:v>
                </c:pt>
                <c:pt idx="8">
                  <c:v>93.79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74-4C75-8F81-E775A062BC8A}"/>
            </c:ext>
          </c:extLst>
        </c:ser>
        <c:ser>
          <c:idx val="1"/>
          <c:order val="1"/>
          <c:tx>
            <c:v>Curve Fit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Sheet1!$A$6:$A$101</c:f>
              <c:numCache>
                <c:formatCode>General</c:formatCode>
                <c:ptCount val="96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</c:numCache>
            </c:numRef>
          </c:xVal>
          <c:yVal>
            <c:numRef>
              <c:f>Sheet1!$H$6:$H$101</c:f>
              <c:numCache>
                <c:formatCode>General</c:formatCode>
                <c:ptCount val="96"/>
                <c:pt idx="0">
                  <c:v>0</c:v>
                </c:pt>
                <c:pt idx="1">
                  <c:v>2.5552752293577981</c:v>
                </c:pt>
                <c:pt idx="2">
                  <c:v>7.7294036697247694</c:v>
                </c:pt>
                <c:pt idx="3">
                  <c:v>15.522385321100916</c:v>
                </c:pt>
                <c:pt idx="4">
                  <c:v>25.934220183486236</c:v>
                </c:pt>
                <c:pt idx="5">
                  <c:v>38.964908256880733</c:v>
                </c:pt>
                <c:pt idx="6">
                  <c:v>54.614449541284394</c:v>
                </c:pt>
                <c:pt idx="7">
                  <c:v>72.882844036697236</c:v>
                </c:pt>
                <c:pt idx="8">
                  <c:v>93.770091743119252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674-4C75-8F81-E775A062BC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259520"/>
        <c:axId val="123265792"/>
      </c:scatterChart>
      <c:valAx>
        <c:axId val="12325952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Velocity (m/s)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3265792"/>
        <c:crosses val="autoZero"/>
        <c:crossBetween val="midCat"/>
      </c:valAx>
      <c:valAx>
        <c:axId val="123265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Pressure (Pa)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32595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66674</xdr:colOff>
      <xdr:row>11</xdr:row>
      <xdr:rowOff>38100</xdr:rowOff>
    </xdr:from>
    <xdr:to>
      <xdr:col>18</xdr:col>
      <xdr:colOff>600074</xdr:colOff>
      <xdr:row>36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152400</xdr:colOff>
      <xdr:row>14</xdr:row>
      <xdr:rowOff>85725</xdr:rowOff>
    </xdr:from>
    <xdr:to>
      <xdr:col>4</xdr:col>
      <xdr:colOff>0</xdr:colOff>
      <xdr:row>15</xdr:row>
      <xdr:rowOff>133350</xdr:rowOff>
    </xdr:to>
    <xdr:sp macro="[0]!CreateAdvancedResistance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43175" y="2924175"/>
          <a:ext cx="1295400" cy="2381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SAVE XML</a:t>
          </a:r>
        </a:p>
      </xdr:txBody>
    </xdr:sp>
    <xdr:clientData/>
  </xdr:twoCellAnchor>
  <xdr:twoCellAnchor>
    <xdr:from>
      <xdr:col>0</xdr:col>
      <xdr:colOff>228600</xdr:colOff>
      <xdr:row>2</xdr:row>
      <xdr:rowOff>123825</xdr:rowOff>
    </xdr:from>
    <xdr:to>
      <xdr:col>1</xdr:col>
      <xdr:colOff>504825</xdr:colOff>
      <xdr:row>3</xdr:row>
      <xdr:rowOff>161925</xdr:rowOff>
    </xdr:to>
    <xdr:sp macro="[0]!ClearInputData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28600" y="600075"/>
          <a:ext cx="1200150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CLEAR DATA</a:t>
          </a:r>
        </a:p>
      </xdr:txBody>
    </xdr:sp>
    <xdr:clientData/>
  </xdr:twoCellAnchor>
  <xdr:twoCellAnchor editAs="oneCell">
    <xdr:from>
      <xdr:col>8</xdr:col>
      <xdr:colOff>76200</xdr:colOff>
      <xdr:row>0</xdr:row>
      <xdr:rowOff>76200</xdr:rowOff>
    </xdr:from>
    <xdr:to>
      <xdr:col>14</xdr:col>
      <xdr:colOff>985</xdr:colOff>
      <xdr:row>10</xdr:row>
      <xdr:rowOff>97987</xdr:rowOff>
    </xdr:to>
    <xdr:pic>
      <xdr:nvPicPr>
        <xdr:cNvPr id="6" name="Picture 83" descr="http://webparts.mentor.com/flotherm/support/supp/webparts/advanced_resistance/image1.jp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45953" r="5344" b="12094"/>
        <a:stretch>
          <a:fillRect/>
        </a:stretch>
      </xdr:blipFill>
      <xdr:spPr bwMode="auto">
        <a:xfrm>
          <a:off x="7400925" y="76200"/>
          <a:ext cx="3610960" cy="2117287"/>
        </a:xfrm>
        <a:prstGeom prst="rect">
          <a:avLst/>
        </a:prstGeom>
        <a:noFill/>
        <a:ln w="9525">
          <a:solidFill>
            <a:sysClr val="windowText" lastClr="000000"/>
          </a:solidFill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06"/>
  <sheetViews>
    <sheetView tabSelected="1" topLeftCell="A4" workbookViewId="0">
      <selection activeCell="H27" sqref="H27"/>
    </sheetView>
  </sheetViews>
  <sheetFormatPr defaultRowHeight="14.15" x14ac:dyDescent="0.3"/>
  <cols>
    <col min="1" max="1" width="13.84375" customWidth="1"/>
    <col min="2" max="2" width="12.84375" customWidth="1"/>
    <col min="4" max="4" width="21.69140625" customWidth="1"/>
    <col min="5" max="5" width="11.15234375" customWidth="1"/>
    <col min="6" max="6" width="9.3828125" customWidth="1"/>
    <col min="7" max="7" width="12.84375" bestFit="1" customWidth="1"/>
    <col min="8" max="8" width="20.53515625" customWidth="1"/>
    <col min="9" max="11" width="9.3046875" bestFit="1" customWidth="1"/>
  </cols>
  <sheetData>
    <row r="1" spans="1:13" ht="16.75" x14ac:dyDescent="0.45">
      <c r="A1" s="14" t="s">
        <v>0</v>
      </c>
      <c r="B1" s="2">
        <v>1.1599999999999999</v>
      </c>
      <c r="C1" s="3" t="s">
        <v>8</v>
      </c>
      <c r="D1" s="14" t="s">
        <v>10</v>
      </c>
      <c r="E1" s="11" t="s">
        <v>18</v>
      </c>
      <c r="F1" s="2">
        <v>0.2</v>
      </c>
      <c r="G1" s="3" t="s">
        <v>11</v>
      </c>
    </row>
    <row r="2" spans="1:13" ht="18.45" thickBot="1" x14ac:dyDescent="0.5">
      <c r="A2" s="15" t="s">
        <v>1</v>
      </c>
      <c r="B2" s="9">
        <v>1.84E-5</v>
      </c>
      <c r="C2" s="7" t="s">
        <v>12</v>
      </c>
      <c r="D2" s="4"/>
      <c r="E2" s="12" t="s">
        <v>19</v>
      </c>
      <c r="F2">
        <v>0.3</v>
      </c>
      <c r="G2" s="5" t="s">
        <v>11</v>
      </c>
    </row>
    <row r="3" spans="1:13" ht="18" customHeight="1" thickBot="1" x14ac:dyDescent="0.5">
      <c r="B3" s="1"/>
      <c r="D3" s="16" t="s">
        <v>21</v>
      </c>
      <c r="E3" s="13" t="s">
        <v>20</v>
      </c>
      <c r="F3" s="6">
        <v>0</v>
      </c>
      <c r="G3" s="7" t="s">
        <v>11</v>
      </c>
    </row>
    <row r="4" spans="1:13" ht="16.5" customHeight="1" thickBot="1" x14ac:dyDescent="0.35">
      <c r="B4" s="1"/>
    </row>
    <row r="5" spans="1:13" x14ac:dyDescent="0.3">
      <c r="A5" s="10" t="s">
        <v>6</v>
      </c>
      <c r="B5" s="10" t="s">
        <v>7</v>
      </c>
      <c r="D5" s="14" t="s">
        <v>2</v>
      </c>
      <c r="E5" s="2"/>
      <c r="F5" s="3"/>
      <c r="H5" s="20" t="s">
        <v>22</v>
      </c>
    </row>
    <row r="6" spans="1:13" x14ac:dyDescent="0.3">
      <c r="A6">
        <v>0</v>
      </c>
      <c r="B6">
        <v>0</v>
      </c>
      <c r="D6" s="18" t="s">
        <v>3</v>
      </c>
      <c r="E6">
        <f>COUNT(B6:B7001)</f>
        <v>9</v>
      </c>
      <c r="F6" s="5"/>
      <c r="H6" s="20">
        <f ca="1">IF(A6&lt;&gt;"",IF($F$3=0,0.5*$E$7*$B$2*A6+0.5*$E$8*$B$1*A6^2,0.5*$E$7*$B$2*$F$3*A6+0.5*$E$8*$B$1*A6^2*$F$3),"")</f>
        <v>0</v>
      </c>
      <c r="J6">
        <f>E6+5</f>
        <v>14</v>
      </c>
      <c r="M6" s="1"/>
    </row>
    <row r="7" spans="1:13" x14ac:dyDescent="0.3">
      <c r="A7">
        <v>0.5</v>
      </c>
      <c r="B7">
        <v>2.41</v>
      </c>
      <c r="D7" s="17" t="s">
        <v>4</v>
      </c>
      <c r="E7" s="1">
        <f ca="1">IF(F3=0,INDEX(LINEST(INDIRECT("b6:b"&amp;J6&amp;""),INDIRECT("A6:A"&amp;J6&amp;"")^{1,2},FALSE,TRUE),1,2)*2/$B$2,INDEX(LINEST(INDIRECT("b6:b"&amp;J6&amp;""),INDIRECT("A6:A"&amp;J6&amp;"")^{1,2},FALSE,TRUE),1,2)*2/$B$2/$F$3)</f>
        <v>270836.65735939372</v>
      </c>
      <c r="F7" s="19" t="s">
        <v>9</v>
      </c>
      <c r="H7" s="20">
        <f t="shared" ref="H7:H70" ca="1" si="0">IF(A7&lt;&gt;"",IF($F$3=0,0.5*$E$7*$B$2*A7+0.5*$E$8*$B$1*A7^2,0.5*$E$7*$B$2*$F$3*A7+0.5*$E$8*$B$1*A7^2*$F$3),"")</f>
        <v>2.5552752293577981</v>
      </c>
      <c r="M7" s="1"/>
    </row>
    <row r="8" spans="1:13" x14ac:dyDescent="0.3">
      <c r="A8">
        <v>1</v>
      </c>
      <c r="B8">
        <v>7.66</v>
      </c>
      <c r="D8" s="17" t="s">
        <v>5</v>
      </c>
      <c r="E8">
        <f ca="1">IF(F3=0,INDEX(LINEST(INDIRECT("b6:b"&amp;J6&amp;""),INDIRECT("A6:A"&amp;J6&amp;"")^{1,2},FALSE,TRUE),1,1)*2/$B$1,INDEX(LINEST(INDIRECT("b6:b"&amp;J6&amp;""),INDIRECT("A6:A"&amp;J6&amp;"")^{1,2},FALSE,TRUE),1,1)*2/$B$1/$F$3)</f>
        <v>9.0305283138247372</v>
      </c>
      <c r="F8" s="5" t="s">
        <v>9</v>
      </c>
      <c r="H8" s="20">
        <f t="shared" ca="1" si="0"/>
        <v>7.7294036697247694</v>
      </c>
    </row>
    <row r="9" spans="1:13" ht="17.149999999999999" thickBot="1" x14ac:dyDescent="0.35">
      <c r="A9">
        <v>1.5</v>
      </c>
      <c r="B9">
        <v>15.52</v>
      </c>
      <c r="D9" s="15" t="s">
        <v>13</v>
      </c>
      <c r="E9" s="6">
        <f ca="1">INDEX(LINEST(INDIRECT("b6:b"&amp;J6&amp;""),INDIRECT("A6:A"&amp;J6&amp;"")^{1,2},FALSE,TRUE),3,1)</f>
        <v>0.9999954747296973</v>
      </c>
      <c r="F9" s="7"/>
      <c r="H9" s="20">
        <f t="shared" ca="1" si="0"/>
        <v>15.522385321100916</v>
      </c>
    </row>
    <row r="10" spans="1:13" x14ac:dyDescent="0.3">
      <c r="A10">
        <v>2</v>
      </c>
      <c r="B10">
        <v>25.92</v>
      </c>
      <c r="H10" s="20">
        <f t="shared" ca="1" si="0"/>
        <v>25.934220183486236</v>
      </c>
    </row>
    <row r="11" spans="1:13" ht="14.6" thickBot="1" x14ac:dyDescent="0.35">
      <c r="A11">
        <v>2.5</v>
      </c>
      <c r="B11">
        <v>39.07</v>
      </c>
      <c r="H11" s="20">
        <f t="shared" ca="1" si="0"/>
        <v>38.964908256880733</v>
      </c>
    </row>
    <row r="12" spans="1:13" x14ac:dyDescent="0.3">
      <c r="A12">
        <v>3</v>
      </c>
      <c r="B12">
        <v>54.76</v>
      </c>
      <c r="D12" s="14" t="s">
        <v>14</v>
      </c>
      <c r="E12" s="2"/>
      <c r="F12" s="3"/>
      <c r="H12" s="20">
        <f t="shared" ca="1" si="0"/>
        <v>54.614449541284394</v>
      </c>
    </row>
    <row r="13" spans="1:13" x14ac:dyDescent="0.3">
      <c r="A13">
        <v>3.5</v>
      </c>
      <c r="B13">
        <v>72.709999999999994</v>
      </c>
      <c r="D13" s="17" t="s">
        <v>15</v>
      </c>
      <c r="E13" t="s">
        <v>23</v>
      </c>
      <c r="F13" s="5"/>
      <c r="H13" s="20">
        <f t="shared" ca="1" si="0"/>
        <v>72.882844036697236</v>
      </c>
    </row>
    <row r="14" spans="1:13" x14ac:dyDescent="0.3">
      <c r="A14">
        <v>4</v>
      </c>
      <c r="B14">
        <v>93.79</v>
      </c>
      <c r="D14" s="17" t="s">
        <v>16</v>
      </c>
      <c r="E14" t="s">
        <v>17</v>
      </c>
      <c r="F14" s="5"/>
      <c r="H14" s="20">
        <f t="shared" ca="1" si="0"/>
        <v>93.770091743119252</v>
      </c>
    </row>
    <row r="15" spans="1:13" x14ac:dyDescent="0.3">
      <c r="D15" s="4"/>
      <c r="F15" s="5"/>
      <c r="H15" s="20" t="str">
        <f t="shared" si="0"/>
        <v/>
      </c>
    </row>
    <row r="16" spans="1:13" x14ac:dyDescent="0.3">
      <c r="D16" s="4"/>
      <c r="F16" s="5"/>
      <c r="H16" s="20" t="str">
        <f t="shared" si="0"/>
        <v/>
      </c>
    </row>
    <row r="17" spans="4:8" ht="14.6" thickBot="1" x14ac:dyDescent="0.35">
      <c r="D17" s="8"/>
      <c r="E17" s="6"/>
      <c r="F17" s="7"/>
      <c r="H17" s="20" t="str">
        <f t="shared" si="0"/>
        <v/>
      </c>
    </row>
    <row r="18" spans="4:8" x14ac:dyDescent="0.3">
      <c r="H18" s="20" t="str">
        <f t="shared" si="0"/>
        <v/>
      </c>
    </row>
    <row r="19" spans="4:8" x14ac:dyDescent="0.3">
      <c r="H19" s="20" t="str">
        <f t="shared" si="0"/>
        <v/>
      </c>
    </row>
    <row r="20" spans="4:8" x14ac:dyDescent="0.3">
      <c r="H20" s="20" t="str">
        <f t="shared" si="0"/>
        <v/>
      </c>
    </row>
    <row r="21" spans="4:8" x14ac:dyDescent="0.3">
      <c r="H21" s="20" t="str">
        <f t="shared" si="0"/>
        <v/>
      </c>
    </row>
    <row r="22" spans="4:8" x14ac:dyDescent="0.3">
      <c r="H22" s="20" t="str">
        <f t="shared" si="0"/>
        <v/>
      </c>
    </row>
    <row r="23" spans="4:8" x14ac:dyDescent="0.3">
      <c r="H23" s="20" t="str">
        <f t="shared" si="0"/>
        <v/>
      </c>
    </row>
    <row r="24" spans="4:8" x14ac:dyDescent="0.3">
      <c r="H24" s="20" t="str">
        <f t="shared" si="0"/>
        <v/>
      </c>
    </row>
    <row r="25" spans="4:8" x14ac:dyDescent="0.3">
      <c r="H25" s="20" t="str">
        <f t="shared" si="0"/>
        <v/>
      </c>
    </row>
    <row r="26" spans="4:8" x14ac:dyDescent="0.3">
      <c r="H26" s="20" t="str">
        <f t="shared" si="0"/>
        <v/>
      </c>
    </row>
    <row r="27" spans="4:8" x14ac:dyDescent="0.3">
      <c r="H27" s="20" t="str">
        <f t="shared" si="0"/>
        <v/>
      </c>
    </row>
    <row r="28" spans="4:8" x14ac:dyDescent="0.3">
      <c r="H28" s="20" t="str">
        <f t="shared" si="0"/>
        <v/>
      </c>
    </row>
    <row r="29" spans="4:8" x14ac:dyDescent="0.3">
      <c r="H29" s="20" t="str">
        <f t="shared" si="0"/>
        <v/>
      </c>
    </row>
    <row r="30" spans="4:8" x14ac:dyDescent="0.3">
      <c r="H30" s="20" t="str">
        <f t="shared" si="0"/>
        <v/>
      </c>
    </row>
    <row r="31" spans="4:8" x14ac:dyDescent="0.3">
      <c r="H31" s="20" t="str">
        <f t="shared" si="0"/>
        <v/>
      </c>
    </row>
    <row r="32" spans="4:8" x14ac:dyDescent="0.3">
      <c r="H32" s="20" t="str">
        <f t="shared" si="0"/>
        <v/>
      </c>
    </row>
    <row r="33" spans="8:8" x14ac:dyDescent="0.3">
      <c r="H33" s="20" t="str">
        <f t="shared" si="0"/>
        <v/>
      </c>
    </row>
    <row r="34" spans="8:8" x14ac:dyDescent="0.3">
      <c r="H34" s="20" t="str">
        <f t="shared" si="0"/>
        <v/>
      </c>
    </row>
    <row r="35" spans="8:8" x14ac:dyDescent="0.3">
      <c r="H35" s="20" t="str">
        <f t="shared" si="0"/>
        <v/>
      </c>
    </row>
    <row r="36" spans="8:8" x14ac:dyDescent="0.3">
      <c r="H36" s="20" t="str">
        <f t="shared" si="0"/>
        <v/>
      </c>
    </row>
    <row r="37" spans="8:8" x14ac:dyDescent="0.3">
      <c r="H37" s="20" t="str">
        <f t="shared" si="0"/>
        <v/>
      </c>
    </row>
    <row r="38" spans="8:8" x14ac:dyDescent="0.3">
      <c r="H38" s="20" t="str">
        <f t="shared" si="0"/>
        <v/>
      </c>
    </row>
    <row r="39" spans="8:8" x14ac:dyDescent="0.3">
      <c r="H39" s="20" t="str">
        <f t="shared" si="0"/>
        <v/>
      </c>
    </row>
    <row r="40" spans="8:8" x14ac:dyDescent="0.3">
      <c r="H40" s="20" t="str">
        <f t="shared" si="0"/>
        <v/>
      </c>
    </row>
    <row r="41" spans="8:8" x14ac:dyDescent="0.3">
      <c r="H41" s="20" t="str">
        <f t="shared" si="0"/>
        <v/>
      </c>
    </row>
    <row r="42" spans="8:8" x14ac:dyDescent="0.3">
      <c r="H42" s="20" t="str">
        <f t="shared" si="0"/>
        <v/>
      </c>
    </row>
    <row r="43" spans="8:8" x14ac:dyDescent="0.3">
      <c r="H43" s="20" t="str">
        <f t="shared" si="0"/>
        <v/>
      </c>
    </row>
    <row r="44" spans="8:8" x14ac:dyDescent="0.3">
      <c r="H44" s="20" t="str">
        <f t="shared" si="0"/>
        <v/>
      </c>
    </row>
    <row r="45" spans="8:8" x14ac:dyDescent="0.3">
      <c r="H45" s="20" t="str">
        <f t="shared" si="0"/>
        <v/>
      </c>
    </row>
    <row r="46" spans="8:8" x14ac:dyDescent="0.3">
      <c r="H46" s="20" t="str">
        <f t="shared" si="0"/>
        <v/>
      </c>
    </row>
    <row r="47" spans="8:8" x14ac:dyDescent="0.3">
      <c r="H47" s="20" t="str">
        <f t="shared" si="0"/>
        <v/>
      </c>
    </row>
    <row r="48" spans="8:8" x14ac:dyDescent="0.3">
      <c r="H48" s="20" t="str">
        <f t="shared" si="0"/>
        <v/>
      </c>
    </row>
    <row r="49" spans="8:8" x14ac:dyDescent="0.3">
      <c r="H49" s="20" t="str">
        <f t="shared" si="0"/>
        <v/>
      </c>
    </row>
    <row r="50" spans="8:8" x14ac:dyDescent="0.3">
      <c r="H50" s="20" t="str">
        <f t="shared" si="0"/>
        <v/>
      </c>
    </row>
    <row r="51" spans="8:8" x14ac:dyDescent="0.3">
      <c r="H51" s="20" t="str">
        <f t="shared" si="0"/>
        <v/>
      </c>
    </row>
    <row r="52" spans="8:8" x14ac:dyDescent="0.3">
      <c r="H52" s="20" t="str">
        <f t="shared" si="0"/>
        <v/>
      </c>
    </row>
    <row r="53" spans="8:8" x14ac:dyDescent="0.3">
      <c r="H53" s="20" t="str">
        <f t="shared" si="0"/>
        <v/>
      </c>
    </row>
    <row r="54" spans="8:8" x14ac:dyDescent="0.3">
      <c r="H54" s="20" t="str">
        <f t="shared" si="0"/>
        <v/>
      </c>
    </row>
    <row r="55" spans="8:8" x14ac:dyDescent="0.3">
      <c r="H55" s="20" t="str">
        <f t="shared" si="0"/>
        <v/>
      </c>
    </row>
    <row r="56" spans="8:8" x14ac:dyDescent="0.3">
      <c r="H56" s="20" t="str">
        <f t="shared" si="0"/>
        <v/>
      </c>
    </row>
    <row r="57" spans="8:8" x14ac:dyDescent="0.3">
      <c r="H57" s="20" t="str">
        <f t="shared" si="0"/>
        <v/>
      </c>
    </row>
    <row r="58" spans="8:8" x14ac:dyDescent="0.3">
      <c r="H58" s="20" t="str">
        <f t="shared" si="0"/>
        <v/>
      </c>
    </row>
    <row r="59" spans="8:8" x14ac:dyDescent="0.3">
      <c r="H59" s="20" t="str">
        <f t="shared" si="0"/>
        <v/>
      </c>
    </row>
    <row r="60" spans="8:8" x14ac:dyDescent="0.3">
      <c r="H60" s="20" t="str">
        <f t="shared" si="0"/>
        <v/>
      </c>
    </row>
    <row r="61" spans="8:8" x14ac:dyDescent="0.3">
      <c r="H61" s="20" t="str">
        <f t="shared" si="0"/>
        <v/>
      </c>
    </row>
    <row r="62" spans="8:8" x14ac:dyDescent="0.3">
      <c r="H62" s="20" t="str">
        <f t="shared" si="0"/>
        <v/>
      </c>
    </row>
    <row r="63" spans="8:8" x14ac:dyDescent="0.3">
      <c r="H63" s="20" t="str">
        <f t="shared" si="0"/>
        <v/>
      </c>
    </row>
    <row r="64" spans="8:8" x14ac:dyDescent="0.3">
      <c r="H64" s="20" t="str">
        <f t="shared" si="0"/>
        <v/>
      </c>
    </row>
    <row r="65" spans="8:8" x14ac:dyDescent="0.3">
      <c r="H65" s="20" t="str">
        <f t="shared" si="0"/>
        <v/>
      </c>
    </row>
    <row r="66" spans="8:8" x14ac:dyDescent="0.3">
      <c r="H66" s="20" t="str">
        <f t="shared" si="0"/>
        <v/>
      </c>
    </row>
    <row r="67" spans="8:8" x14ac:dyDescent="0.3">
      <c r="H67" s="20" t="str">
        <f t="shared" si="0"/>
        <v/>
      </c>
    </row>
    <row r="68" spans="8:8" x14ac:dyDescent="0.3">
      <c r="H68" s="20" t="str">
        <f t="shared" si="0"/>
        <v/>
      </c>
    </row>
    <row r="69" spans="8:8" x14ac:dyDescent="0.3">
      <c r="H69" s="20" t="str">
        <f t="shared" si="0"/>
        <v/>
      </c>
    </row>
    <row r="70" spans="8:8" x14ac:dyDescent="0.3">
      <c r="H70" s="20" t="str">
        <f t="shared" si="0"/>
        <v/>
      </c>
    </row>
    <row r="71" spans="8:8" x14ac:dyDescent="0.3">
      <c r="H71" s="20" t="str">
        <f t="shared" ref="H71:H106" si="1">IF(A71&lt;&gt;"",IF($F$3=0,0.5*$E$7*$B$2*A71+0.5*$E$8*$B$1*A71^2,0.5*$E$7*$B$2*$F$3*A71+0.5*$E$8*$B$1*A71^2*$F$3),"")</f>
        <v/>
      </c>
    </row>
    <row r="72" spans="8:8" x14ac:dyDescent="0.3">
      <c r="H72" s="20" t="str">
        <f t="shared" si="1"/>
        <v/>
      </c>
    </row>
    <row r="73" spans="8:8" x14ac:dyDescent="0.3">
      <c r="H73" s="20" t="str">
        <f t="shared" si="1"/>
        <v/>
      </c>
    </row>
    <row r="74" spans="8:8" x14ac:dyDescent="0.3">
      <c r="H74" s="20" t="str">
        <f t="shared" si="1"/>
        <v/>
      </c>
    </row>
    <row r="75" spans="8:8" x14ac:dyDescent="0.3">
      <c r="H75" s="20" t="str">
        <f t="shared" si="1"/>
        <v/>
      </c>
    </row>
    <row r="76" spans="8:8" x14ac:dyDescent="0.3">
      <c r="H76" s="20" t="str">
        <f t="shared" si="1"/>
        <v/>
      </c>
    </row>
    <row r="77" spans="8:8" x14ac:dyDescent="0.3">
      <c r="H77" s="20" t="str">
        <f t="shared" si="1"/>
        <v/>
      </c>
    </row>
    <row r="78" spans="8:8" x14ac:dyDescent="0.3">
      <c r="H78" s="20" t="str">
        <f t="shared" si="1"/>
        <v/>
      </c>
    </row>
    <row r="79" spans="8:8" x14ac:dyDescent="0.3">
      <c r="H79" s="20" t="str">
        <f t="shared" si="1"/>
        <v/>
      </c>
    </row>
    <row r="80" spans="8:8" x14ac:dyDescent="0.3">
      <c r="H80" s="20" t="str">
        <f t="shared" si="1"/>
        <v/>
      </c>
    </row>
    <row r="81" spans="8:8" x14ac:dyDescent="0.3">
      <c r="H81" s="20" t="str">
        <f t="shared" si="1"/>
        <v/>
      </c>
    </row>
    <row r="82" spans="8:8" x14ac:dyDescent="0.3">
      <c r="H82" s="20" t="str">
        <f t="shared" si="1"/>
        <v/>
      </c>
    </row>
    <row r="83" spans="8:8" x14ac:dyDescent="0.3">
      <c r="H83" s="20" t="str">
        <f t="shared" si="1"/>
        <v/>
      </c>
    </row>
    <row r="84" spans="8:8" x14ac:dyDescent="0.3">
      <c r="H84" s="20" t="str">
        <f t="shared" si="1"/>
        <v/>
      </c>
    </row>
    <row r="85" spans="8:8" x14ac:dyDescent="0.3">
      <c r="H85" s="20" t="str">
        <f t="shared" si="1"/>
        <v/>
      </c>
    </row>
    <row r="86" spans="8:8" x14ac:dyDescent="0.3">
      <c r="H86" s="20" t="str">
        <f t="shared" si="1"/>
        <v/>
      </c>
    </row>
    <row r="87" spans="8:8" x14ac:dyDescent="0.3">
      <c r="H87" s="20" t="str">
        <f t="shared" si="1"/>
        <v/>
      </c>
    </row>
    <row r="88" spans="8:8" x14ac:dyDescent="0.3">
      <c r="H88" s="20" t="str">
        <f t="shared" si="1"/>
        <v/>
      </c>
    </row>
    <row r="89" spans="8:8" x14ac:dyDescent="0.3">
      <c r="H89" s="20" t="str">
        <f t="shared" si="1"/>
        <v/>
      </c>
    </row>
    <row r="90" spans="8:8" x14ac:dyDescent="0.3">
      <c r="H90" s="20" t="str">
        <f t="shared" si="1"/>
        <v/>
      </c>
    </row>
    <row r="91" spans="8:8" x14ac:dyDescent="0.3">
      <c r="H91" s="20" t="str">
        <f t="shared" si="1"/>
        <v/>
      </c>
    </row>
    <row r="92" spans="8:8" x14ac:dyDescent="0.3">
      <c r="H92" s="20" t="str">
        <f t="shared" si="1"/>
        <v/>
      </c>
    </row>
    <row r="93" spans="8:8" x14ac:dyDescent="0.3">
      <c r="H93" s="20" t="str">
        <f t="shared" si="1"/>
        <v/>
      </c>
    </row>
    <row r="94" spans="8:8" x14ac:dyDescent="0.3">
      <c r="H94" s="20" t="str">
        <f t="shared" si="1"/>
        <v/>
      </c>
    </row>
    <row r="95" spans="8:8" x14ac:dyDescent="0.3">
      <c r="H95" s="20" t="str">
        <f t="shared" si="1"/>
        <v/>
      </c>
    </row>
    <row r="96" spans="8:8" x14ac:dyDescent="0.3">
      <c r="H96" s="20" t="str">
        <f t="shared" si="1"/>
        <v/>
      </c>
    </row>
    <row r="97" spans="8:8" x14ac:dyDescent="0.3">
      <c r="H97" s="20" t="str">
        <f t="shared" si="1"/>
        <v/>
      </c>
    </row>
    <row r="98" spans="8:8" x14ac:dyDescent="0.3">
      <c r="H98" s="20" t="str">
        <f t="shared" si="1"/>
        <v/>
      </c>
    </row>
    <row r="99" spans="8:8" x14ac:dyDescent="0.3">
      <c r="H99" s="20" t="str">
        <f t="shared" si="1"/>
        <v/>
      </c>
    </row>
    <row r="100" spans="8:8" x14ac:dyDescent="0.3">
      <c r="H100" s="20" t="str">
        <f t="shared" si="1"/>
        <v/>
      </c>
    </row>
    <row r="101" spans="8:8" x14ac:dyDescent="0.3">
      <c r="H101" t="str">
        <f t="shared" si="1"/>
        <v/>
      </c>
    </row>
    <row r="102" spans="8:8" x14ac:dyDescent="0.3">
      <c r="H102" t="str">
        <f t="shared" si="1"/>
        <v/>
      </c>
    </row>
    <row r="103" spans="8:8" x14ac:dyDescent="0.3">
      <c r="H103" t="str">
        <f t="shared" si="1"/>
        <v/>
      </c>
    </row>
    <row r="104" spans="8:8" x14ac:dyDescent="0.3">
      <c r="H104" t="str">
        <f t="shared" si="1"/>
        <v/>
      </c>
    </row>
    <row r="105" spans="8:8" x14ac:dyDescent="0.3">
      <c r="H105" t="str">
        <f t="shared" si="1"/>
        <v/>
      </c>
    </row>
    <row r="106" spans="8:8" x14ac:dyDescent="0.3">
      <c r="H106" t="str">
        <f t="shared" si="1"/>
        <v/>
      </c>
    </row>
  </sheetData>
  <phoneticPr fontId="8" type="noConversion"/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4.15" x14ac:dyDescent="0.3"/>
  <sheetData/>
  <phoneticPr fontId="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4.15" x14ac:dyDescent="0.3"/>
  <sheetData/>
  <phoneticPr fontId="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Mentor Graphics Corp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Advanced Resistance Creation Macro</dc:title>
  <dc:creator>Byron Blackmore</dc:creator>
  <dc:description>This macro takes velocity-pressure data pairs as input and produces an XML file containing an advanced resistance object and attribute as output.</dc:description>
  <cp:lastModifiedBy>谢坤 李</cp:lastModifiedBy>
  <dcterms:created xsi:type="dcterms:W3CDTF">2010-11-22T14:57:38Z</dcterms:created>
  <dcterms:modified xsi:type="dcterms:W3CDTF">2026-03-18T15:51:53Z</dcterms:modified>
</cp:coreProperties>
</file>