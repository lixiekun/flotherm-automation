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yronb\Desktop\v12-Demo-Models\Command Center Superposition\"/>
    </mc:Choice>
  </mc:AlternateContent>
  <bookViews>
    <workbookView xWindow="0" yWindow="30" windowWidth="22980" windowHeight="9795"/>
  </bookViews>
  <sheets>
    <sheet name="Output" sheetId="3" r:id="rId1"/>
    <sheet name="Scenario Table" sheetId="1" r:id="rId2"/>
    <sheet name="Help &amp; Advice" sheetId="4" r:id="rId3"/>
  </sheets>
  <definedNames>
    <definedName name="rNote">Output!$C$5</definedName>
    <definedName name="SuperPosInStrt">Output!$H$13</definedName>
    <definedName name="Tamb">Output!$D$7</definedName>
    <definedName name="TMonStrt">Output!$C$13</definedName>
  </definedNames>
  <calcPr calcId="152511"/>
</workbook>
</file>

<file path=xl/calcChain.xml><?xml version="1.0" encoding="utf-8"?>
<calcChain xmlns="http://schemas.openxmlformats.org/spreadsheetml/2006/main">
  <c r="E13" i="3" l="1" a="1"/>
  <c r="E15" i="3" s="1"/>
  <c r="E13" i="3"/>
  <c r="E14" i="3"/>
  <c r="E16" i="3"/>
  <c r="E17" i="3"/>
  <c r="E18" i="3"/>
</calcChain>
</file>

<file path=xl/comments1.xml><?xml version="1.0" encoding="utf-8"?>
<comments xmlns="http://schemas.openxmlformats.org/spreadsheetml/2006/main">
  <authors>
    <author>Wilson, John (Santa Clara)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Paste Scenario Table Data Here...</t>
        </r>
      </text>
    </comment>
  </commentList>
</comments>
</file>

<file path=xl/sharedStrings.xml><?xml version="1.0" encoding="utf-8"?>
<sst xmlns="http://schemas.openxmlformats.org/spreadsheetml/2006/main" count="75" uniqueCount="58">
  <si>
    <t>Q [W]</t>
  </si>
  <si>
    <t>Step</t>
  </si>
  <si>
    <t>1.</t>
  </si>
  <si>
    <t>2.</t>
  </si>
  <si>
    <t>3.</t>
  </si>
  <si>
    <t>Instruction</t>
  </si>
  <si>
    <t xml:space="preserve">It is provided under the terms described in </t>
  </si>
  <si>
    <t>https://supportnet.mentor.com/about/policies/custom-script-support.cfm</t>
  </si>
  <si>
    <t>Please read this webpage before contacting Mentor Graphics for support.</t>
  </si>
  <si>
    <t>Base Project</t>
  </si>
  <si>
    <t>Scenario 1</t>
  </si>
  <si>
    <t>Scenario 2</t>
  </si>
  <si>
    <t>Scenario 3</t>
  </si>
  <si>
    <t>Scenario 4</t>
  </si>
  <si>
    <t>Scenario 5</t>
  </si>
  <si>
    <t>Scenario 6</t>
  </si>
  <si>
    <t>Append Scenario</t>
  </si>
  <si>
    <t>Solution Status</t>
  </si>
  <si>
    <t>Steady State Converged</t>
  </si>
  <si>
    <t>Store Results?</t>
  </si>
  <si>
    <t>Full</t>
  </si>
  <si>
    <t>History Only</t>
  </si>
  <si>
    <t>Initialize From</t>
  </si>
  <si>
    <t>This spreadsheet processes FloTHERM V12 Command Center Scenario Table Tab based on a Superposition analysis.</t>
  </si>
  <si>
    <t xml:space="preserve">Ambient Temperature [°C]: </t>
  </si>
  <si>
    <t>Temperature [°C]</t>
  </si>
  <si>
    <t>Overview:</t>
  </si>
  <si>
    <t>Superposition Input…</t>
  </si>
  <si>
    <t>Click button to clear previous data.  Paste Command Center Scenario Table data into cell A1 on the Scenario Table worksheet</t>
  </si>
  <si>
    <t>Click button to process data.  Adjust ambient temperature and power dissipation to determine monitored temperatures</t>
  </si>
  <si>
    <t>For systems dominated by conduction and forced convection heat transfer superposition may be used.  Superposition allows for temperature prediction analytically by combining the influence of each component powered individually.</t>
  </si>
  <si>
    <t>U1 [Component] : Conduction Total Power (W)</t>
  </si>
  <si>
    <t>U2 [Component] : Conduction Total Power (W)</t>
  </si>
  <si>
    <t>U3 [Component] : Conduction Total Power (W)</t>
  </si>
  <si>
    <t>U4 [Component] : Conduction Total Power (W)</t>
  </si>
  <si>
    <t>U5 [Component] : Conduction Total Power (W)</t>
  </si>
  <si>
    <t>MP-U1 [Component] : Temperature (°C)</t>
  </si>
  <si>
    <t>MP-U3 [Component] : Temperature (°C)</t>
  </si>
  <si>
    <t>MP-U4 [Component] : Temperature (°C)</t>
  </si>
  <si>
    <t>MP-U5 [Component] : Temperature (°C)</t>
  </si>
  <si>
    <t xml:space="preserve">MP-U1 [Component] </t>
  </si>
  <si>
    <t xml:space="preserve">MP-U3 [Component] </t>
  </si>
  <si>
    <t xml:space="preserve">MP-U4 [Component] </t>
  </si>
  <si>
    <t xml:space="preserve">MP-U5 [Component] </t>
  </si>
  <si>
    <t>MP-U2 [Component] : Temperature (°C)</t>
  </si>
  <si>
    <t xml:space="preserve">MP-U2 [Component] </t>
  </si>
  <si>
    <t>This spreadsheet is supplied to existing customers for use alongside FloTHERM Version 12 and above.</t>
  </si>
  <si>
    <t>U6 [Component] : Conduction Total Power (W)</t>
  </si>
  <si>
    <t>MP-U6 [Component] : Temperature (°C)</t>
  </si>
  <si>
    <t xml:space="preserve">MP-U6 [Component] </t>
  </si>
  <si>
    <t>Superposition Output</t>
  </si>
  <si>
    <t>The spreadsheet will correctly parse the Superposition scenario data if:</t>
  </si>
  <si>
    <t>Only Superposition scenarios exist and haven't been re-ordered.</t>
  </si>
  <si>
    <t>Number of input variables=Number of output variables and haven't been re-ordered</t>
  </si>
  <si>
    <t>Figure 2: Command Center Scenario Table</t>
  </si>
  <si>
    <t>Figure 1: Superposition scenario creation</t>
  </si>
  <si>
    <t>Perform a FloTHERM V12 superposition analysis in Command Center</t>
  </si>
  <si>
    <t>Monitored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</si>
</sst>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i/>
      <sz val="11"/>
      <color theme="2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color rgb="FF3E3E3E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35">
    <xf numFmtId="0" fontId="0" fillId="0" borderId="0" xfId="0"/>
    <xf numFmtId="0" fontId="18" fillId="0" borderId="0" xfId="0" applyFont="1"/>
    <xf numFmtId="0" fontId="16" fillId="0" borderId="0" xfId="0" applyFont="1" applyAlignment="1">
      <alignment horizontal="center"/>
    </xf>
    <xf numFmtId="0" fontId="16" fillId="0" borderId="0" xfId="0" applyFont="1"/>
    <xf numFmtId="0" fontId="16" fillId="0" borderId="0" xfId="0" quotePrefix="1" applyFont="1" applyAlignment="1">
      <alignment horizontal="right"/>
    </xf>
    <xf numFmtId="0" fontId="19" fillId="0" borderId="0" xfId="0" applyFont="1" applyAlignment="1">
      <alignment horizontal="right"/>
    </xf>
    <xf numFmtId="0" fontId="21" fillId="0" borderId="0" xfId="42"/>
    <xf numFmtId="0" fontId="0" fillId="8" borderId="8" xfId="15" applyFont="1"/>
    <xf numFmtId="0" fontId="18" fillId="0" borderId="0" xfId="0" applyFont="1" applyAlignment="1">
      <alignment vertical="top" wrapText="1"/>
    </xf>
    <xf numFmtId="0" fontId="0" fillId="8" borderId="8" xfId="15" applyFont="1" applyAlignment="1">
      <alignment horizontal="center"/>
    </xf>
    <xf numFmtId="0" fontId="20" fillId="0" borderId="0" xfId="0" applyFont="1" applyAlignment="1">
      <alignment horizontal="center"/>
    </xf>
    <xf numFmtId="0" fontId="17" fillId="0" borderId="0" xfId="0" applyNumberFormat="1" applyFont="1" applyAlignment="1" applyProtection="1">
      <alignment horizontal="left"/>
    </xf>
    <xf numFmtId="0" fontId="20" fillId="0" borderId="0" xfId="0" applyNumberFormat="1" applyFont="1" applyAlignment="1" applyProtection="1">
      <alignment horizontal="left"/>
    </xf>
    <xf numFmtId="0" fontId="13" fillId="9" borderId="10" xfId="18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0" fillId="0" borderId="0" xfId="0" quotePrefix="1" applyFont="1" applyAlignment="1">
      <alignment horizontal="right"/>
    </xf>
    <xf numFmtId="0" fontId="0" fillId="0" borderId="0" xfId="0" quotePrefix="1" applyFont="1" applyAlignment="1">
      <alignment horizontal="left"/>
    </xf>
    <xf numFmtId="0" fontId="23" fillId="0" borderId="0" xfId="0" applyFont="1"/>
    <xf numFmtId="0" fontId="20" fillId="0" borderId="0" xfId="0" quotePrefix="1" applyFont="1" applyAlignment="1">
      <alignment horizontal="center"/>
    </xf>
    <xf numFmtId="0" fontId="0" fillId="0" borderId="0" xfId="0" quotePrefix="1" applyFont="1" applyAlignment="1">
      <alignment horizontal="center"/>
    </xf>
    <xf numFmtId="164" fontId="20" fillId="0" borderId="0" xfId="0" applyNumberFormat="1" applyFont="1" applyAlignment="1" applyProtection="1">
      <alignment horizontal="left"/>
    </xf>
    <xf numFmtId="0" fontId="0" fillId="0" borderId="0" xfId="0" quotePrefix="1" applyFont="1" applyAlignment="1"/>
    <xf numFmtId="0" fontId="20" fillId="0" borderId="0" xfId="0" applyNumberFormat="1" applyFont="1" applyAlignment="1" applyProtection="1">
      <alignment horizontal="center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3" fillId="32" borderId="10" xfId="41" applyFont="1" applyBorder="1" applyAlignment="1">
      <alignment horizontal="center"/>
    </xf>
    <xf numFmtId="0" fontId="13" fillId="16" borderId="11" xfId="25" applyFont="1" applyBorder="1" applyAlignment="1">
      <alignment horizontal="center"/>
    </xf>
    <xf numFmtId="0" fontId="13" fillId="16" borderId="12" xfId="25" applyFont="1" applyBorder="1" applyAlignment="1">
      <alignment horizontal="center"/>
    </xf>
    <xf numFmtId="0" fontId="13" fillId="16" borderId="13" xfId="25" applyFont="1" applyBorder="1" applyAlignment="1">
      <alignment horizontal="center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/>
    </xf>
    <xf numFmtId="0" fontId="0" fillId="0" borderId="0" xfId="0" quotePrefix="1" applyFont="1" applyAlignment="1">
      <alignment horizontal="left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b val="0"/>
        <i val="0"/>
        <color theme="2" tint="-0.499984740745262"/>
      </font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ont>
        <b val="0"/>
        <i val="0"/>
        <color theme="2" tint="-0.499984740745262"/>
      </font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ont>
        <b/>
        <i val="0"/>
        <color theme="1" tint="0.34998626667073579"/>
      </font>
      <fill>
        <patternFill>
          <bgColor rgb="FFF8B3AE"/>
        </patternFill>
      </fill>
    </dxf>
    <dxf>
      <font>
        <b val="0"/>
        <i/>
        <color theme="3" tint="0.59996337778862885"/>
      </font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2CC"/>
      <color rgb="FFF8B3AE"/>
      <color rgb="FFFFFFCC"/>
      <color rgb="FF359543"/>
      <color rgb="FF00CC00"/>
      <color rgb="FF5997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982980</xdr:colOff>
      <xdr:row>7</xdr:row>
      <xdr:rowOff>156776</xdr:rowOff>
    </xdr:from>
    <xdr:ext cx="1531620" cy="254703"/>
    <xdr:sp macro="[0]!SuperPosRth" textlink="">
      <xdr:nvSpPr>
        <xdr:cNvPr id="2" name="RunFTXML"/>
        <xdr:cNvSpPr/>
      </xdr:nvSpPr>
      <xdr:spPr>
        <a:xfrm>
          <a:off x="4358640" y="1436936"/>
          <a:ext cx="1531620" cy="254703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Process Scenario Table</a:t>
          </a:r>
        </a:p>
      </xdr:txBody>
    </xdr:sp>
    <xdr:clientData fLocksWithSheet="0"/>
  </xdr:oneCellAnchor>
  <xdr:twoCellAnchor>
    <xdr:from>
      <xdr:col>6</xdr:col>
      <xdr:colOff>457200</xdr:colOff>
      <xdr:row>8</xdr:row>
      <xdr:rowOff>76200</xdr:rowOff>
    </xdr:from>
    <xdr:to>
      <xdr:col>7</xdr:col>
      <xdr:colOff>335280</xdr:colOff>
      <xdr:row>8</xdr:row>
      <xdr:rowOff>76200</xdr:rowOff>
    </xdr:to>
    <xdr:cxnSp macro="">
      <xdr:nvCxnSpPr>
        <xdr:cNvPr id="5" name="Straight Arrow Connector 4"/>
        <xdr:cNvCxnSpPr/>
      </xdr:nvCxnSpPr>
      <xdr:spPr>
        <a:xfrm flipH="1">
          <a:off x="5753100" y="1539240"/>
          <a:ext cx="4572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4</xdr:col>
      <xdr:colOff>982980</xdr:colOff>
      <xdr:row>5</xdr:row>
      <xdr:rowOff>156776</xdr:rowOff>
    </xdr:from>
    <xdr:ext cx="1501140" cy="231844"/>
    <xdr:sp macro="[0]!ClearAll" textlink="">
      <xdr:nvSpPr>
        <xdr:cNvPr id="6" name="RunFTXML"/>
        <xdr:cNvSpPr/>
      </xdr:nvSpPr>
      <xdr:spPr>
        <a:xfrm>
          <a:off x="4206240" y="1071176"/>
          <a:ext cx="1501140" cy="231844"/>
        </a:xfrm>
        <a:prstGeom prst="rect">
          <a:avLst/>
        </a:prstGeom>
        <a:gradFill rotWithShape="1">
          <a:gsLst>
            <a:gs pos="0">
              <a:srgbClr val="70AD47">
                <a:satMod val="103000"/>
                <a:lumMod val="102000"/>
                <a:tint val="94000"/>
              </a:srgbClr>
            </a:gs>
            <a:gs pos="50000">
              <a:srgbClr val="70AD47">
                <a:satMod val="110000"/>
                <a:lumMod val="100000"/>
                <a:shade val="100000"/>
              </a:srgbClr>
            </a:gs>
            <a:gs pos="100000">
              <a:srgbClr val="70AD47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Clear Scenario Table Data</a:t>
          </a:r>
        </a:p>
      </xdr:txBody>
    </xdr:sp>
    <xdr:clientData fLocksWithSheet="0"/>
  </xdr:oneCellAnchor>
  <xdr:twoCellAnchor>
    <xdr:from>
      <xdr:col>6</xdr:col>
      <xdr:colOff>457200</xdr:colOff>
      <xdr:row>6</xdr:row>
      <xdr:rowOff>99060</xdr:rowOff>
    </xdr:from>
    <xdr:to>
      <xdr:col>7</xdr:col>
      <xdr:colOff>335280</xdr:colOff>
      <xdr:row>6</xdr:row>
      <xdr:rowOff>99060</xdr:rowOff>
    </xdr:to>
    <xdr:cxnSp macro="">
      <xdr:nvCxnSpPr>
        <xdr:cNvPr id="7" name="Straight Arrow Connector 6"/>
        <xdr:cNvCxnSpPr/>
      </xdr:nvCxnSpPr>
      <xdr:spPr>
        <a:xfrm flipH="1" flipV="1">
          <a:off x="5753100" y="1196340"/>
          <a:ext cx="457200" cy="0"/>
        </a:xfrm>
        <a:prstGeom prst="straightConnector1">
          <a:avLst/>
        </a:prstGeom>
        <a:ln>
          <a:tailEnd type="arrow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396240</xdr:colOff>
      <xdr:row>10</xdr:row>
      <xdr:rowOff>127806</xdr:rowOff>
    </xdr:from>
    <xdr:to>
      <xdr:col>13</xdr:col>
      <xdr:colOff>577482</xdr:colOff>
      <xdr:row>27</xdr:row>
      <xdr:rowOff>73577</xdr:rowOff>
    </xdr:to>
    <xdr:grpSp>
      <xdr:nvGrpSpPr>
        <xdr:cNvPr id="36" name="Group 35"/>
        <xdr:cNvGrpSpPr/>
      </xdr:nvGrpSpPr>
      <xdr:grpSpPr>
        <a:xfrm>
          <a:off x="1005840" y="1956606"/>
          <a:ext cx="7496442" cy="3054731"/>
          <a:chOff x="1005840" y="1956606"/>
          <a:chExt cx="7496442" cy="3054731"/>
        </a:xfrm>
      </xdr:grpSpPr>
      <xdr:grpSp>
        <xdr:nvGrpSpPr>
          <xdr:cNvPr id="5" name="Group 4"/>
          <xdr:cNvGrpSpPr/>
        </xdr:nvGrpSpPr>
        <xdr:grpSpPr>
          <a:xfrm>
            <a:off x="1531620" y="1956606"/>
            <a:ext cx="6970662" cy="3054731"/>
            <a:chOff x="769620" y="1659426"/>
            <a:chExt cx="6970662" cy="3054731"/>
          </a:xfrm>
        </xdr:grpSpPr>
        <xdr:pic>
          <xdr:nvPicPr>
            <xdr:cNvPr id="2" name="Picture 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769620" y="1659426"/>
              <a:ext cx="6970662" cy="3054731"/>
            </a:xfrm>
            <a:prstGeom prst="rect">
              <a:avLst/>
            </a:prstGeom>
          </xdr:spPr>
        </xdr:pic>
        <xdr:sp macro="" textlink="">
          <xdr:nvSpPr>
            <xdr:cNvPr id="3" name="TextBox 2"/>
            <xdr:cNvSpPr txBox="1"/>
          </xdr:nvSpPr>
          <xdr:spPr>
            <a:xfrm>
              <a:off x="2628900" y="1828800"/>
              <a:ext cx="617220" cy="2804160"/>
            </a:xfrm>
            <a:prstGeom prst="rect">
              <a:avLst/>
            </a:prstGeom>
            <a:solidFill>
              <a:srgbClr val="FFF2CC">
                <a:alpha val="34902"/>
              </a:srgb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ctr"/>
            <a:lstStyle/>
            <a:p>
              <a:pPr algn="ctr"/>
              <a:r>
                <a:rPr lang="en-US" sz="3200">
                  <a:solidFill>
                    <a:schemeClr val="bg2">
                      <a:lumMod val="50000"/>
                    </a:schemeClr>
                  </a:solidFill>
                </a:rPr>
                <a:t>Ignored</a:t>
              </a:r>
            </a:p>
          </xdr:txBody>
        </xdr:sp>
        <xdr:sp macro="" textlink="">
          <xdr:nvSpPr>
            <xdr:cNvPr id="4" name="TextBox 3"/>
            <xdr:cNvSpPr txBox="1"/>
          </xdr:nvSpPr>
          <xdr:spPr>
            <a:xfrm>
              <a:off x="7056120" y="1828800"/>
              <a:ext cx="632460" cy="2804160"/>
            </a:xfrm>
            <a:prstGeom prst="rect">
              <a:avLst/>
            </a:prstGeom>
            <a:solidFill>
              <a:srgbClr val="FFF2CC">
                <a:alpha val="34902"/>
              </a:srgb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ctr"/>
            <a:lstStyle/>
            <a:p>
              <a:pPr algn="ctr"/>
              <a:r>
                <a:rPr lang="en-US" sz="3200">
                  <a:solidFill>
                    <a:schemeClr val="bg2">
                      <a:lumMod val="50000"/>
                    </a:schemeClr>
                  </a:solidFill>
                </a:rPr>
                <a:t>Ignored</a:t>
              </a:r>
            </a:p>
          </xdr:txBody>
        </xdr:sp>
      </xdr:grpSp>
      <xdr:grpSp>
        <xdr:nvGrpSpPr>
          <xdr:cNvPr id="14" name="Group 13"/>
          <xdr:cNvGrpSpPr/>
        </xdr:nvGrpSpPr>
        <xdr:grpSpPr>
          <a:xfrm>
            <a:off x="1005840" y="2255520"/>
            <a:ext cx="327660" cy="1653540"/>
            <a:chOff x="1074420" y="2255520"/>
            <a:chExt cx="327660" cy="1653540"/>
          </a:xfrm>
        </xdr:grpSpPr>
        <xdr:cxnSp macro="">
          <xdr:nvCxnSpPr>
            <xdr:cNvPr id="9" name="Straight Connector 8"/>
            <xdr:cNvCxnSpPr/>
          </xdr:nvCxnSpPr>
          <xdr:spPr>
            <a:xfrm flipH="1">
              <a:off x="1074420" y="2255520"/>
              <a:ext cx="327660" cy="0"/>
            </a:xfrm>
            <a:prstGeom prst="line">
              <a:avLst/>
            </a:prstGeom>
            <a:ln>
              <a:headEnd type="triangle" w="med" len="med"/>
              <a:tailEnd type="none" w="med" len="med"/>
            </a:ln>
          </xdr:spPr>
          <xdr:style>
            <a:lnRef idx="3">
              <a:schemeClr val="accent1"/>
            </a:lnRef>
            <a:fillRef idx="0">
              <a:schemeClr val="accent1"/>
            </a:fillRef>
            <a:effectRef idx="2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Straight Connector 10"/>
            <xdr:cNvCxnSpPr/>
          </xdr:nvCxnSpPr>
          <xdr:spPr>
            <a:xfrm>
              <a:off x="1074420" y="2255520"/>
              <a:ext cx="0" cy="1653540"/>
            </a:xfrm>
            <a:prstGeom prst="line">
              <a:avLst/>
            </a:prstGeom>
          </xdr:spPr>
          <xdr:style>
            <a:lnRef idx="3">
              <a:schemeClr val="accent1"/>
            </a:lnRef>
            <a:fillRef idx="0">
              <a:schemeClr val="accent1"/>
            </a:fillRef>
            <a:effectRef idx="2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3" name="Straight Connector 12"/>
            <xdr:cNvCxnSpPr/>
          </xdr:nvCxnSpPr>
          <xdr:spPr>
            <a:xfrm>
              <a:off x="1074420" y="3901440"/>
              <a:ext cx="327660" cy="0"/>
            </a:xfrm>
            <a:prstGeom prst="line">
              <a:avLst/>
            </a:prstGeom>
            <a:ln>
              <a:headEnd type="none" w="med" len="med"/>
              <a:tailEnd type="triangle" w="med" len="med"/>
            </a:ln>
          </xdr:spPr>
          <xdr:style>
            <a:lnRef idx="3">
              <a:schemeClr val="accent1"/>
            </a:lnRef>
            <a:fillRef idx="0">
              <a:schemeClr val="accent1"/>
            </a:fillRef>
            <a:effectRef idx="2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5" name="Group 14"/>
          <xdr:cNvGrpSpPr/>
        </xdr:nvGrpSpPr>
        <xdr:grpSpPr>
          <a:xfrm>
            <a:off x="1043940" y="2415540"/>
            <a:ext cx="327660" cy="1653540"/>
            <a:chOff x="1074420" y="2255520"/>
            <a:chExt cx="327660" cy="1653540"/>
          </a:xfrm>
        </xdr:grpSpPr>
        <xdr:cxnSp macro="">
          <xdr:nvCxnSpPr>
            <xdr:cNvPr id="16" name="Straight Connector 15"/>
            <xdr:cNvCxnSpPr/>
          </xdr:nvCxnSpPr>
          <xdr:spPr>
            <a:xfrm flipH="1">
              <a:off x="1074420" y="2255520"/>
              <a:ext cx="327660" cy="0"/>
            </a:xfrm>
            <a:prstGeom prst="line">
              <a:avLst/>
            </a:prstGeom>
            <a:ln>
              <a:headEnd type="triangle" w="med" len="med"/>
              <a:tailEnd type="none" w="med" len="med"/>
            </a:ln>
          </xdr:spPr>
          <xdr:style>
            <a:lnRef idx="3">
              <a:schemeClr val="accent2"/>
            </a:lnRef>
            <a:fillRef idx="0">
              <a:schemeClr val="accent2"/>
            </a:fillRef>
            <a:effectRef idx="2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17" name="Straight Connector 16"/>
            <xdr:cNvCxnSpPr/>
          </xdr:nvCxnSpPr>
          <xdr:spPr>
            <a:xfrm>
              <a:off x="1074420" y="2255520"/>
              <a:ext cx="0" cy="1653540"/>
            </a:xfrm>
            <a:prstGeom prst="line">
              <a:avLst/>
            </a:prstGeom>
          </xdr:spPr>
          <xdr:style>
            <a:lnRef idx="3">
              <a:schemeClr val="accent2"/>
            </a:lnRef>
            <a:fillRef idx="0">
              <a:schemeClr val="accent2"/>
            </a:fillRef>
            <a:effectRef idx="2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18" name="Straight Connector 17"/>
            <xdr:cNvCxnSpPr/>
          </xdr:nvCxnSpPr>
          <xdr:spPr>
            <a:xfrm>
              <a:off x="1074420" y="3901440"/>
              <a:ext cx="327660" cy="0"/>
            </a:xfrm>
            <a:prstGeom prst="line">
              <a:avLst/>
            </a:prstGeom>
            <a:ln>
              <a:headEnd type="none" w="med" len="med"/>
              <a:tailEnd type="triangle" w="med" len="med"/>
            </a:ln>
          </xdr:spPr>
          <xdr:style>
            <a:lnRef idx="3">
              <a:schemeClr val="accent2"/>
            </a:lnRef>
            <a:fillRef idx="0">
              <a:schemeClr val="accent2"/>
            </a:fillRef>
            <a:effectRef idx="2">
              <a:schemeClr val="accent2"/>
            </a:effectRef>
            <a:fontRef idx="minor">
              <a:schemeClr val="tx1"/>
            </a:fontRef>
          </xdr:style>
        </xdr:cxnSp>
      </xdr:grpSp>
      <xdr:grpSp>
        <xdr:nvGrpSpPr>
          <xdr:cNvPr id="19" name="Group 18"/>
          <xdr:cNvGrpSpPr/>
        </xdr:nvGrpSpPr>
        <xdr:grpSpPr>
          <a:xfrm>
            <a:off x="1089660" y="2613660"/>
            <a:ext cx="327660" cy="1653540"/>
            <a:chOff x="1074420" y="2255520"/>
            <a:chExt cx="327660" cy="1653540"/>
          </a:xfrm>
        </xdr:grpSpPr>
        <xdr:cxnSp macro="">
          <xdr:nvCxnSpPr>
            <xdr:cNvPr id="20" name="Straight Connector 19"/>
            <xdr:cNvCxnSpPr/>
          </xdr:nvCxnSpPr>
          <xdr:spPr>
            <a:xfrm flipH="1">
              <a:off x="1074420" y="2255520"/>
              <a:ext cx="327660" cy="0"/>
            </a:xfrm>
            <a:prstGeom prst="line">
              <a:avLst/>
            </a:prstGeom>
            <a:ln>
              <a:headEnd type="triangle" w="med" len="med"/>
              <a:tailEnd type="none" w="med" len="med"/>
            </a:ln>
          </xdr:spPr>
          <xdr:style>
            <a:lnRef idx="3">
              <a:schemeClr val="accent3"/>
            </a:lnRef>
            <a:fillRef idx="0">
              <a:schemeClr val="accent3"/>
            </a:fillRef>
            <a:effectRef idx="2">
              <a:schemeClr val="accent3"/>
            </a:effectRef>
            <a:fontRef idx="minor">
              <a:schemeClr val="tx1"/>
            </a:fontRef>
          </xdr:style>
        </xdr:cxnSp>
        <xdr:cxnSp macro="">
          <xdr:nvCxnSpPr>
            <xdr:cNvPr id="21" name="Straight Connector 20"/>
            <xdr:cNvCxnSpPr/>
          </xdr:nvCxnSpPr>
          <xdr:spPr>
            <a:xfrm>
              <a:off x="1074420" y="2255520"/>
              <a:ext cx="0" cy="1653540"/>
            </a:xfrm>
            <a:prstGeom prst="line">
              <a:avLst/>
            </a:prstGeom>
          </xdr:spPr>
          <xdr:style>
            <a:lnRef idx="3">
              <a:schemeClr val="accent3"/>
            </a:lnRef>
            <a:fillRef idx="0">
              <a:schemeClr val="accent3"/>
            </a:fillRef>
            <a:effectRef idx="2">
              <a:schemeClr val="accent3"/>
            </a:effectRef>
            <a:fontRef idx="minor">
              <a:schemeClr val="tx1"/>
            </a:fontRef>
          </xdr:style>
        </xdr:cxnSp>
        <xdr:cxnSp macro="">
          <xdr:nvCxnSpPr>
            <xdr:cNvPr id="22" name="Straight Connector 21"/>
            <xdr:cNvCxnSpPr/>
          </xdr:nvCxnSpPr>
          <xdr:spPr>
            <a:xfrm>
              <a:off x="1074420" y="3901440"/>
              <a:ext cx="327660" cy="0"/>
            </a:xfrm>
            <a:prstGeom prst="line">
              <a:avLst/>
            </a:prstGeom>
            <a:ln>
              <a:headEnd type="none" w="med" len="med"/>
              <a:tailEnd type="triangle" w="med" len="med"/>
            </a:ln>
          </xdr:spPr>
          <xdr:style>
            <a:lnRef idx="3">
              <a:schemeClr val="accent3"/>
            </a:lnRef>
            <a:fillRef idx="0">
              <a:schemeClr val="accent3"/>
            </a:fillRef>
            <a:effectRef idx="2">
              <a:schemeClr val="accent3"/>
            </a:effectRef>
            <a:fontRef idx="minor">
              <a:schemeClr val="tx1"/>
            </a:fontRef>
          </xdr:style>
        </xdr:cxnSp>
      </xdr:grpSp>
      <xdr:grpSp>
        <xdr:nvGrpSpPr>
          <xdr:cNvPr id="23" name="Group 22"/>
          <xdr:cNvGrpSpPr/>
        </xdr:nvGrpSpPr>
        <xdr:grpSpPr>
          <a:xfrm>
            <a:off x="1135380" y="2796540"/>
            <a:ext cx="327660" cy="1653540"/>
            <a:chOff x="1074420" y="2255520"/>
            <a:chExt cx="327660" cy="1653540"/>
          </a:xfrm>
        </xdr:grpSpPr>
        <xdr:cxnSp macro="">
          <xdr:nvCxnSpPr>
            <xdr:cNvPr id="24" name="Straight Connector 23"/>
            <xdr:cNvCxnSpPr/>
          </xdr:nvCxnSpPr>
          <xdr:spPr>
            <a:xfrm flipH="1">
              <a:off x="1074420" y="2255520"/>
              <a:ext cx="327660" cy="0"/>
            </a:xfrm>
            <a:prstGeom prst="line">
              <a:avLst/>
            </a:prstGeom>
            <a:ln>
              <a:headEnd type="triangle" w="med" len="med"/>
              <a:tailEnd type="none" w="med" len="med"/>
            </a:ln>
          </xdr:spPr>
          <xdr:style>
            <a:lnRef idx="3">
              <a:schemeClr val="accent4"/>
            </a:lnRef>
            <a:fillRef idx="0">
              <a:schemeClr val="accent4"/>
            </a:fillRef>
            <a:effectRef idx="2">
              <a:schemeClr val="accent4"/>
            </a:effectRef>
            <a:fontRef idx="minor">
              <a:schemeClr val="tx1"/>
            </a:fontRef>
          </xdr:style>
        </xdr:cxnSp>
        <xdr:cxnSp macro="">
          <xdr:nvCxnSpPr>
            <xdr:cNvPr id="25" name="Straight Connector 24"/>
            <xdr:cNvCxnSpPr/>
          </xdr:nvCxnSpPr>
          <xdr:spPr>
            <a:xfrm>
              <a:off x="1074420" y="2255520"/>
              <a:ext cx="0" cy="1653540"/>
            </a:xfrm>
            <a:prstGeom prst="line">
              <a:avLst/>
            </a:prstGeom>
          </xdr:spPr>
          <xdr:style>
            <a:lnRef idx="3">
              <a:schemeClr val="accent4"/>
            </a:lnRef>
            <a:fillRef idx="0">
              <a:schemeClr val="accent4"/>
            </a:fillRef>
            <a:effectRef idx="2">
              <a:schemeClr val="accent4"/>
            </a:effectRef>
            <a:fontRef idx="minor">
              <a:schemeClr val="tx1"/>
            </a:fontRef>
          </xdr:style>
        </xdr:cxnSp>
        <xdr:cxnSp macro="">
          <xdr:nvCxnSpPr>
            <xdr:cNvPr id="26" name="Straight Connector 25"/>
            <xdr:cNvCxnSpPr/>
          </xdr:nvCxnSpPr>
          <xdr:spPr>
            <a:xfrm>
              <a:off x="1074420" y="3901440"/>
              <a:ext cx="327660" cy="0"/>
            </a:xfrm>
            <a:prstGeom prst="line">
              <a:avLst/>
            </a:prstGeom>
            <a:ln>
              <a:headEnd type="none" w="med" len="med"/>
              <a:tailEnd type="triangle" w="med" len="med"/>
            </a:ln>
          </xdr:spPr>
          <xdr:style>
            <a:lnRef idx="3">
              <a:schemeClr val="accent4"/>
            </a:lnRef>
            <a:fillRef idx="0">
              <a:schemeClr val="accent4"/>
            </a:fillRef>
            <a:effectRef idx="2">
              <a:schemeClr val="accent4"/>
            </a:effectRef>
            <a:fontRef idx="minor">
              <a:schemeClr val="tx1"/>
            </a:fontRef>
          </xdr:style>
        </xdr:cxnSp>
      </xdr:grpSp>
      <xdr:grpSp>
        <xdr:nvGrpSpPr>
          <xdr:cNvPr id="27" name="Group 26"/>
          <xdr:cNvGrpSpPr/>
        </xdr:nvGrpSpPr>
        <xdr:grpSpPr>
          <a:xfrm>
            <a:off x="1173480" y="2979420"/>
            <a:ext cx="327660" cy="1653540"/>
            <a:chOff x="1074420" y="2255520"/>
            <a:chExt cx="327660" cy="1653540"/>
          </a:xfrm>
        </xdr:grpSpPr>
        <xdr:cxnSp macro="">
          <xdr:nvCxnSpPr>
            <xdr:cNvPr id="28" name="Straight Connector 27"/>
            <xdr:cNvCxnSpPr/>
          </xdr:nvCxnSpPr>
          <xdr:spPr>
            <a:xfrm flipH="1">
              <a:off x="1074420" y="2255520"/>
              <a:ext cx="327660" cy="0"/>
            </a:xfrm>
            <a:prstGeom prst="line">
              <a:avLst/>
            </a:prstGeom>
            <a:ln>
              <a:headEnd type="triangle" w="med" len="med"/>
              <a:tailEnd type="none" w="med" len="med"/>
            </a:ln>
          </xdr:spPr>
          <xdr:style>
            <a:lnRef idx="3">
              <a:schemeClr val="accent5"/>
            </a:lnRef>
            <a:fillRef idx="0">
              <a:schemeClr val="accent5"/>
            </a:fillRef>
            <a:effectRef idx="2">
              <a:schemeClr val="accent5"/>
            </a:effectRef>
            <a:fontRef idx="minor">
              <a:schemeClr val="tx1"/>
            </a:fontRef>
          </xdr:style>
        </xdr:cxnSp>
        <xdr:cxnSp macro="">
          <xdr:nvCxnSpPr>
            <xdr:cNvPr id="29" name="Straight Connector 28"/>
            <xdr:cNvCxnSpPr/>
          </xdr:nvCxnSpPr>
          <xdr:spPr>
            <a:xfrm>
              <a:off x="1074420" y="2255520"/>
              <a:ext cx="0" cy="1653540"/>
            </a:xfrm>
            <a:prstGeom prst="line">
              <a:avLst/>
            </a:prstGeom>
          </xdr:spPr>
          <xdr:style>
            <a:lnRef idx="3">
              <a:schemeClr val="accent5"/>
            </a:lnRef>
            <a:fillRef idx="0">
              <a:schemeClr val="accent5"/>
            </a:fillRef>
            <a:effectRef idx="2">
              <a:schemeClr val="accent5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/>
            <xdr:cNvCxnSpPr/>
          </xdr:nvCxnSpPr>
          <xdr:spPr>
            <a:xfrm>
              <a:off x="1074420" y="3901440"/>
              <a:ext cx="327660" cy="0"/>
            </a:xfrm>
            <a:prstGeom prst="line">
              <a:avLst/>
            </a:prstGeom>
            <a:ln>
              <a:headEnd type="none" w="med" len="med"/>
              <a:tailEnd type="triangle" w="med" len="med"/>
            </a:ln>
          </xdr:spPr>
          <xdr:style>
            <a:lnRef idx="3">
              <a:schemeClr val="accent5"/>
            </a:lnRef>
            <a:fillRef idx="0">
              <a:schemeClr val="accent5"/>
            </a:fillRef>
            <a:effectRef idx="2">
              <a:schemeClr val="accent5"/>
            </a:effectRef>
            <a:fontRef idx="minor">
              <a:schemeClr val="tx1"/>
            </a:fontRef>
          </xdr:style>
        </xdr:cxnSp>
      </xdr:grpSp>
      <xdr:grpSp>
        <xdr:nvGrpSpPr>
          <xdr:cNvPr id="31" name="Group 30"/>
          <xdr:cNvGrpSpPr/>
        </xdr:nvGrpSpPr>
        <xdr:grpSpPr>
          <a:xfrm>
            <a:off x="1203960" y="3177540"/>
            <a:ext cx="327660" cy="1653540"/>
            <a:chOff x="1074420" y="2255520"/>
            <a:chExt cx="327660" cy="1653540"/>
          </a:xfrm>
        </xdr:grpSpPr>
        <xdr:cxnSp macro="">
          <xdr:nvCxnSpPr>
            <xdr:cNvPr id="32" name="Straight Connector 31"/>
            <xdr:cNvCxnSpPr/>
          </xdr:nvCxnSpPr>
          <xdr:spPr>
            <a:xfrm flipH="1">
              <a:off x="1074420" y="2255520"/>
              <a:ext cx="327660" cy="0"/>
            </a:xfrm>
            <a:prstGeom prst="line">
              <a:avLst/>
            </a:prstGeom>
            <a:ln>
              <a:headEnd type="triangle" w="med" len="med"/>
              <a:tailEnd type="none" w="med" len="med"/>
            </a:ln>
          </xdr:spPr>
          <xdr:style>
            <a:lnRef idx="3">
              <a:schemeClr val="accent6"/>
            </a:lnRef>
            <a:fillRef idx="0">
              <a:schemeClr val="accent6"/>
            </a:fillRef>
            <a:effectRef idx="2">
              <a:schemeClr val="accent6"/>
            </a:effectRef>
            <a:fontRef idx="minor">
              <a:schemeClr val="tx1"/>
            </a:fontRef>
          </xdr:style>
        </xdr:cxnSp>
        <xdr:cxnSp macro="">
          <xdr:nvCxnSpPr>
            <xdr:cNvPr id="33" name="Straight Connector 32"/>
            <xdr:cNvCxnSpPr/>
          </xdr:nvCxnSpPr>
          <xdr:spPr>
            <a:xfrm>
              <a:off x="1074420" y="2255520"/>
              <a:ext cx="0" cy="1653540"/>
            </a:xfrm>
            <a:prstGeom prst="line">
              <a:avLst/>
            </a:prstGeom>
          </xdr:spPr>
          <xdr:style>
            <a:lnRef idx="3">
              <a:schemeClr val="accent6"/>
            </a:lnRef>
            <a:fillRef idx="0">
              <a:schemeClr val="accent6"/>
            </a:fillRef>
            <a:effectRef idx="2">
              <a:schemeClr val="accent6"/>
            </a:effectRef>
            <a:fontRef idx="minor">
              <a:schemeClr val="tx1"/>
            </a:fontRef>
          </xdr:style>
        </xdr:cxnSp>
        <xdr:cxnSp macro="">
          <xdr:nvCxnSpPr>
            <xdr:cNvPr id="34" name="Straight Connector 33"/>
            <xdr:cNvCxnSpPr/>
          </xdr:nvCxnSpPr>
          <xdr:spPr>
            <a:xfrm>
              <a:off x="1074420" y="3901440"/>
              <a:ext cx="327660" cy="0"/>
            </a:xfrm>
            <a:prstGeom prst="line">
              <a:avLst/>
            </a:prstGeom>
            <a:ln>
              <a:headEnd type="none" w="med" len="med"/>
              <a:tailEnd type="triangle" w="med" len="med"/>
            </a:ln>
          </xdr:spPr>
          <xdr:style>
            <a:lnRef idx="3">
              <a:schemeClr val="accent6"/>
            </a:lnRef>
            <a:fillRef idx="0">
              <a:schemeClr val="accent6"/>
            </a:fillRef>
            <a:effectRef idx="2">
              <a:schemeClr val="accent6"/>
            </a:effectRef>
            <a:fontRef idx="minor">
              <a:schemeClr val="tx1"/>
            </a:fontRef>
          </xdr:style>
        </xdr:cxnSp>
      </xdr:grpSp>
    </xdr:grpSp>
    <xdr:clientData/>
  </xdr:twoCellAnchor>
  <xdr:twoCellAnchor editAs="oneCell">
    <xdr:from>
      <xdr:col>11</xdr:col>
      <xdr:colOff>502920</xdr:colOff>
      <xdr:row>3</xdr:row>
      <xdr:rowOff>64302</xdr:rowOff>
    </xdr:from>
    <xdr:to>
      <xdr:col>15</xdr:col>
      <xdr:colOff>517617</xdr:colOff>
      <xdr:row>8</xdr:row>
      <xdr:rowOff>123610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612942"/>
          <a:ext cx="2453097" cy="9737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upportnet.mentor.com/about/policies/custom-script-support.cf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ut"/>
  <dimension ref="C2:O105"/>
  <sheetViews>
    <sheetView showGridLines="0" tabSelected="1" workbookViewId="0">
      <selection activeCell="F26" sqref="F26"/>
    </sheetView>
  </sheetViews>
  <sheetFormatPr defaultColWidth="8.85546875" defaultRowHeight="15" x14ac:dyDescent="0.25"/>
  <cols>
    <col min="1" max="2" width="8.85546875" style="15"/>
    <col min="3" max="3" width="24.42578125" style="14" bestFit="1" customWidth="1"/>
    <col min="4" max="4" width="7" style="14" customWidth="1"/>
    <col min="5" max="5" width="16.42578125" style="14" customWidth="1"/>
    <col min="6" max="6" width="14.42578125" style="11" customWidth="1"/>
    <col min="7" max="7" width="8.42578125" style="15" customWidth="1"/>
    <col min="8" max="13" width="12.7109375" style="15" bestFit="1" customWidth="1"/>
    <col min="14" max="27" width="9.7109375" style="15" bestFit="1" customWidth="1"/>
    <col min="28" max="28" width="8.7109375" style="15" bestFit="1" customWidth="1"/>
    <col min="29" max="16384" width="8.85546875" style="15"/>
  </cols>
  <sheetData>
    <row r="2" spans="3:15" x14ac:dyDescent="0.25">
      <c r="C2" s="5" t="s">
        <v>26</v>
      </c>
      <c r="D2" s="30" t="s">
        <v>30</v>
      </c>
      <c r="E2" s="31"/>
      <c r="F2" s="31"/>
      <c r="G2" s="31"/>
      <c r="H2" s="31"/>
      <c r="I2" s="31"/>
    </row>
    <row r="3" spans="3:15" x14ac:dyDescent="0.25">
      <c r="D3" s="31"/>
      <c r="E3" s="31"/>
      <c r="F3" s="31"/>
      <c r="G3" s="31"/>
      <c r="H3" s="31"/>
      <c r="I3" s="31"/>
    </row>
    <row r="4" spans="3:15" x14ac:dyDescent="0.25">
      <c r="D4" s="31"/>
      <c r="E4" s="31"/>
      <c r="F4" s="31"/>
      <c r="G4" s="31"/>
      <c r="H4" s="31"/>
      <c r="I4" s="31"/>
    </row>
    <row r="5" spans="3:15" x14ac:dyDescent="0.25">
      <c r="C5" s="32"/>
      <c r="D5" s="32"/>
      <c r="E5" s="32"/>
      <c r="F5" s="32"/>
      <c r="G5" s="22"/>
      <c r="H5" s="2" t="s">
        <v>1</v>
      </c>
      <c r="I5" s="3" t="s">
        <v>5</v>
      </c>
      <c r="J5" s="22"/>
    </row>
    <row r="6" spans="3:15" x14ac:dyDescent="0.25">
      <c r="H6" s="16" t="s">
        <v>2</v>
      </c>
      <c r="I6" s="34" t="s">
        <v>56</v>
      </c>
      <c r="J6" s="34"/>
      <c r="K6" s="34"/>
      <c r="L6" s="34"/>
      <c r="M6" s="34"/>
      <c r="N6" s="34"/>
    </row>
    <row r="7" spans="3:15" x14ac:dyDescent="0.25">
      <c r="C7" s="5" t="s">
        <v>24</v>
      </c>
      <c r="D7" s="9">
        <v>35</v>
      </c>
      <c r="H7" s="16" t="s">
        <v>3</v>
      </c>
      <c r="I7" s="33" t="s">
        <v>28</v>
      </c>
      <c r="J7" s="33"/>
      <c r="K7" s="33"/>
      <c r="L7" s="33"/>
      <c r="M7" s="33"/>
      <c r="N7" s="33"/>
    </row>
    <row r="8" spans="3:15" x14ac:dyDescent="0.25">
      <c r="I8" s="33"/>
      <c r="J8" s="33"/>
      <c r="K8" s="33"/>
      <c r="L8" s="33"/>
      <c r="M8" s="33"/>
      <c r="N8" s="33"/>
    </row>
    <row r="9" spans="3:15" x14ac:dyDescent="0.25">
      <c r="F9" s="12"/>
      <c r="H9" s="16" t="s">
        <v>4</v>
      </c>
      <c r="I9" s="33" t="s">
        <v>29</v>
      </c>
      <c r="J9" s="33"/>
      <c r="K9" s="33"/>
      <c r="L9" s="33"/>
      <c r="M9" s="33"/>
      <c r="N9" s="33"/>
    </row>
    <row r="10" spans="3:15" x14ac:dyDescent="0.25">
      <c r="C10" s="26" t="s">
        <v>50</v>
      </c>
      <c r="D10"/>
      <c r="E10"/>
      <c r="F10" s="12"/>
      <c r="I10" s="33"/>
      <c r="J10" s="33"/>
      <c r="K10" s="33"/>
      <c r="L10" s="33"/>
      <c r="M10" s="33"/>
      <c r="N10" s="33"/>
    </row>
    <row r="11" spans="3:15" ht="3.6" customHeight="1" x14ac:dyDescent="0.25">
      <c r="F11" s="12"/>
      <c r="H11" s="17"/>
      <c r="I11" s="17"/>
      <c r="J11" s="17"/>
      <c r="K11" s="17"/>
      <c r="L11" s="17"/>
      <c r="M11" s="17"/>
      <c r="N11" s="17"/>
      <c r="O11" s="17"/>
    </row>
    <row r="12" spans="3:15" x14ac:dyDescent="0.25">
      <c r="C12" s="13" t="s">
        <v>57</v>
      </c>
      <c r="D12" s="13" t="s">
        <v>0</v>
      </c>
      <c r="E12" s="13" t="s">
        <v>25</v>
      </c>
      <c r="F12" s="12"/>
      <c r="H12" s="27" t="s">
        <v>27</v>
      </c>
      <c r="I12" s="28"/>
      <c r="J12" s="29"/>
      <c r="K12"/>
      <c r="L12"/>
      <c r="M12"/>
    </row>
    <row r="13" spans="3:15" x14ac:dyDescent="0.25">
      <c r="C13" s="10" t="s">
        <v>40</v>
      </c>
      <c r="D13" s="14">
        <v>1</v>
      </c>
      <c r="E13" s="10">
        <f t="array" ref="E13:E18">ROUND(MMULT(H13:M18,D13:D18)+Tamb,3)</f>
        <v>45.017000000000003</v>
      </c>
      <c r="F13" s="12"/>
      <c r="H13" s="15">
        <v>5.4408299999999983</v>
      </c>
      <c r="I13" s="15">
        <v>6.9879999999997722E-2</v>
      </c>
      <c r="J13" s="15">
        <v>0.2988900000000001</v>
      </c>
      <c r="K13" s="15">
        <v>4.9399999999998556E-2</v>
      </c>
      <c r="L13" s="15">
        <v>3.7730000000003372E-2</v>
      </c>
      <c r="M13" s="15">
        <v>0.52559999999999718</v>
      </c>
    </row>
    <row r="14" spans="3:15" x14ac:dyDescent="0.25">
      <c r="C14" s="14" t="s">
        <v>45</v>
      </c>
      <c r="D14" s="14">
        <v>2</v>
      </c>
      <c r="E14" s="10">
        <v>51.209000000000003</v>
      </c>
      <c r="F14" s="12"/>
      <c r="H14" s="15">
        <v>3.875000000000739E-3</v>
      </c>
      <c r="I14" s="15">
        <v>5.4472799999999992</v>
      </c>
      <c r="J14" s="15">
        <v>0.12409500000000051</v>
      </c>
      <c r="K14" s="15">
        <v>0.3633349999999993</v>
      </c>
      <c r="L14" s="15">
        <v>0.55657499999999871</v>
      </c>
      <c r="M14" s="15">
        <v>0.11704999999999899</v>
      </c>
    </row>
    <row r="15" spans="3:15" x14ac:dyDescent="0.25">
      <c r="C15" s="14" t="s">
        <v>41</v>
      </c>
      <c r="D15" s="14">
        <v>3</v>
      </c>
      <c r="E15" s="10">
        <v>52.128999999999998</v>
      </c>
      <c r="F15" s="12"/>
      <c r="H15" s="15">
        <v>3.0000000000048505E-5</v>
      </c>
      <c r="I15" s="15">
        <v>2.7733333333325541E-3</v>
      </c>
      <c r="J15" s="15">
        <v>5.4279433333333342</v>
      </c>
      <c r="K15" s="15">
        <v>0.13096666666666579</v>
      </c>
      <c r="L15" s="15">
        <v>5.1183333333334247E-2</v>
      </c>
      <c r="M15" s="15">
        <v>9.8966666666674055E-3</v>
      </c>
    </row>
    <row r="16" spans="3:15" x14ac:dyDescent="0.25">
      <c r="C16" s="14" t="s">
        <v>42</v>
      </c>
      <c r="D16" s="14">
        <v>4</v>
      </c>
      <c r="E16" s="10">
        <v>57.369</v>
      </c>
      <c r="F16" s="12"/>
      <c r="H16" s="15">
        <v>0</v>
      </c>
      <c r="I16" s="15">
        <v>3.375000000005457E-4</v>
      </c>
      <c r="J16" s="15">
        <v>3.5619999999999763E-2</v>
      </c>
      <c r="K16" s="15">
        <v>5.5201200000000004</v>
      </c>
      <c r="L16" s="18">
        <v>3.6097500000000338E-2</v>
      </c>
      <c r="M16" s="15">
        <v>1.0750000000037119E-4</v>
      </c>
    </row>
    <row r="17" spans="3:13" x14ac:dyDescent="0.25">
      <c r="C17" s="14" t="s">
        <v>43</v>
      </c>
      <c r="D17" s="14">
        <v>5</v>
      </c>
      <c r="E17" s="10">
        <v>65.769000000000005</v>
      </c>
      <c r="F17" s="12"/>
      <c r="H17" s="15">
        <v>3.6000000000058209E-5</v>
      </c>
      <c r="I17" s="15">
        <v>5.4999999999999716E-2</v>
      </c>
      <c r="J17" s="15">
        <v>0.10043799999999976</v>
      </c>
      <c r="K17" s="15">
        <v>0.55822799999999972</v>
      </c>
      <c r="L17" s="15">
        <v>5.6195819999999994</v>
      </c>
      <c r="M17" s="15">
        <v>4.4460000000000836E-3</v>
      </c>
    </row>
    <row r="18" spans="3:13" x14ac:dyDescent="0.25">
      <c r="C18" s="14" t="s">
        <v>49</v>
      </c>
      <c r="D18" s="14">
        <v>6</v>
      </c>
      <c r="E18" s="10">
        <v>70.051000000000002</v>
      </c>
      <c r="F18" s="12"/>
      <c r="H18" s="4">
        <v>2.1796666666666908E-2</v>
      </c>
      <c r="I18" s="8">
        <v>0.13251999999999953</v>
      </c>
      <c r="J18" s="8">
        <v>0.5005266666666669</v>
      </c>
      <c r="K18" s="15">
        <v>6.3433333333333522E-2</v>
      </c>
      <c r="L18" s="15">
        <v>5.8096666666666387E-2</v>
      </c>
      <c r="M18" s="15">
        <v>5.4530216666666673</v>
      </c>
    </row>
    <row r="19" spans="3:13" x14ac:dyDescent="0.25">
      <c r="E19" s="10"/>
      <c r="F19" s="12"/>
      <c r="I19" s="8"/>
      <c r="J19" s="8"/>
    </row>
    <row r="20" spans="3:13" x14ac:dyDescent="0.25">
      <c r="C20" s="20"/>
      <c r="E20" s="19"/>
      <c r="F20" s="12"/>
      <c r="H20" s="4"/>
      <c r="I20" s="1"/>
      <c r="J20" s="1"/>
    </row>
    <row r="21" spans="3:13" x14ac:dyDescent="0.25">
      <c r="E21" s="10"/>
      <c r="F21" s="12"/>
    </row>
    <row r="22" spans="3:13" x14ac:dyDescent="0.25">
      <c r="E22" s="10"/>
      <c r="F22" s="12"/>
    </row>
    <row r="23" spans="3:13" x14ac:dyDescent="0.25">
      <c r="D23" s="10"/>
      <c r="E23" s="10"/>
      <c r="F23" s="12"/>
    </row>
    <row r="24" spans="3:13" x14ac:dyDescent="0.25">
      <c r="D24" s="10"/>
      <c r="E24" s="10"/>
      <c r="F24" s="12"/>
    </row>
    <row r="25" spans="3:13" x14ac:dyDescent="0.25">
      <c r="D25" s="10"/>
      <c r="E25" s="10"/>
      <c r="F25" s="12"/>
    </row>
    <row r="26" spans="3:13" x14ac:dyDescent="0.25">
      <c r="D26" s="10"/>
      <c r="E26" s="10"/>
      <c r="F26" s="12"/>
    </row>
    <row r="27" spans="3:13" x14ac:dyDescent="0.25">
      <c r="D27" s="10"/>
      <c r="E27" s="10"/>
      <c r="F27" s="21"/>
    </row>
    <row r="28" spans="3:13" x14ac:dyDescent="0.25">
      <c r="D28" s="10"/>
      <c r="E28" s="23"/>
      <c r="F28" s="21"/>
    </row>
    <row r="29" spans="3:13" x14ac:dyDescent="0.25">
      <c r="D29" s="10"/>
      <c r="F29" s="21"/>
    </row>
    <row r="30" spans="3:13" x14ac:dyDescent="0.25">
      <c r="D30" s="10"/>
      <c r="F30" s="21"/>
    </row>
    <row r="31" spans="3:13" x14ac:dyDescent="0.25">
      <c r="D31" s="10"/>
      <c r="F31" s="21"/>
    </row>
    <row r="32" spans="3:13" x14ac:dyDescent="0.25">
      <c r="D32" s="10"/>
      <c r="F32" s="21"/>
    </row>
    <row r="33" spans="4:6" x14ac:dyDescent="0.25">
      <c r="D33" s="10"/>
      <c r="F33" s="21"/>
    </row>
    <row r="34" spans="4:6" x14ac:dyDescent="0.25">
      <c r="D34" s="10"/>
      <c r="E34" s="15"/>
      <c r="F34" s="21"/>
    </row>
    <row r="35" spans="4:6" x14ac:dyDescent="0.25">
      <c r="D35" s="10"/>
      <c r="E35" s="15"/>
      <c r="F35" s="21"/>
    </row>
    <row r="36" spans="4:6" x14ac:dyDescent="0.25">
      <c r="D36" s="10"/>
      <c r="E36" s="15"/>
      <c r="F36" s="21"/>
    </row>
    <row r="37" spans="4:6" x14ac:dyDescent="0.25">
      <c r="D37" s="10"/>
      <c r="E37" s="15"/>
      <c r="F37" s="21"/>
    </row>
    <row r="38" spans="4:6" x14ac:dyDescent="0.25">
      <c r="D38" s="10"/>
      <c r="E38" s="15"/>
      <c r="F38" s="21"/>
    </row>
    <row r="39" spans="4:6" x14ac:dyDescent="0.25">
      <c r="D39" s="10"/>
      <c r="E39" s="15"/>
      <c r="F39" s="21"/>
    </row>
    <row r="40" spans="4:6" x14ac:dyDescent="0.25">
      <c r="D40" s="10"/>
      <c r="E40" s="10"/>
      <c r="F40" s="12"/>
    </row>
    <row r="41" spans="4:6" x14ac:dyDescent="0.25">
      <c r="D41" s="10"/>
      <c r="E41" s="10"/>
      <c r="F41" s="12"/>
    </row>
    <row r="42" spans="4:6" x14ac:dyDescent="0.25">
      <c r="D42" s="10"/>
      <c r="E42" s="10"/>
      <c r="F42" s="12"/>
    </row>
    <row r="43" spans="4:6" x14ac:dyDescent="0.25">
      <c r="D43" s="10"/>
      <c r="E43" s="10"/>
      <c r="F43" s="12"/>
    </row>
    <row r="44" spans="4:6" x14ac:dyDescent="0.25">
      <c r="D44" s="10"/>
      <c r="E44" s="10"/>
      <c r="F44" s="12"/>
    </row>
    <row r="45" spans="4:6" x14ac:dyDescent="0.25">
      <c r="D45" s="10"/>
      <c r="E45" s="10"/>
    </row>
    <row r="46" spans="4:6" x14ac:dyDescent="0.25">
      <c r="D46" s="10"/>
      <c r="E46" s="10"/>
    </row>
    <row r="47" spans="4:6" x14ac:dyDescent="0.25">
      <c r="D47" s="10"/>
      <c r="E47" s="10"/>
    </row>
    <row r="48" spans="4:6" x14ac:dyDescent="0.25">
      <c r="D48" s="10"/>
      <c r="E48" s="10"/>
    </row>
    <row r="49" spans="4:5" x14ac:dyDescent="0.25">
      <c r="D49" s="10"/>
      <c r="E49" s="10"/>
    </row>
    <row r="50" spans="4:5" x14ac:dyDescent="0.25">
      <c r="D50" s="10"/>
      <c r="E50" s="10"/>
    </row>
    <row r="51" spans="4:5" x14ac:dyDescent="0.25">
      <c r="D51" s="10"/>
      <c r="E51" s="10"/>
    </row>
    <row r="52" spans="4:5" x14ac:dyDescent="0.25">
      <c r="D52" s="10"/>
      <c r="E52" s="10"/>
    </row>
    <row r="53" spans="4:5" x14ac:dyDescent="0.25">
      <c r="D53" s="10"/>
      <c r="E53" s="10"/>
    </row>
    <row r="54" spans="4:5" x14ac:dyDescent="0.25">
      <c r="D54" s="10"/>
      <c r="E54" s="10"/>
    </row>
    <row r="55" spans="4:5" x14ac:dyDescent="0.25">
      <c r="D55" s="10"/>
      <c r="E55" s="10"/>
    </row>
    <row r="56" spans="4:5" x14ac:dyDescent="0.25">
      <c r="D56" s="10"/>
      <c r="E56" s="10"/>
    </row>
    <row r="57" spans="4:5" x14ac:dyDescent="0.25">
      <c r="D57" s="10"/>
      <c r="E57" s="10"/>
    </row>
    <row r="58" spans="4:5" x14ac:dyDescent="0.25">
      <c r="D58" s="10"/>
      <c r="E58" s="10"/>
    </row>
    <row r="59" spans="4:5" x14ac:dyDescent="0.25">
      <c r="D59" s="10"/>
      <c r="E59" s="10"/>
    </row>
    <row r="60" spans="4:5" x14ac:dyDescent="0.25">
      <c r="D60" s="10"/>
      <c r="E60" s="10"/>
    </row>
    <row r="61" spans="4:5" x14ac:dyDescent="0.25">
      <c r="D61" s="10"/>
      <c r="E61" s="10"/>
    </row>
    <row r="62" spans="4:5" x14ac:dyDescent="0.25">
      <c r="D62" s="10"/>
      <c r="E62" s="10"/>
    </row>
    <row r="63" spans="4:5" x14ac:dyDescent="0.25">
      <c r="D63" s="10"/>
      <c r="E63" s="10"/>
    </row>
    <row r="64" spans="4:5" x14ac:dyDescent="0.25">
      <c r="D64" s="10"/>
      <c r="E64" s="10"/>
    </row>
    <row r="65" spans="4:5" x14ac:dyDescent="0.25">
      <c r="D65" s="10"/>
      <c r="E65" s="10"/>
    </row>
    <row r="66" spans="4:5" x14ac:dyDescent="0.25">
      <c r="D66" s="10"/>
      <c r="E66" s="10"/>
    </row>
    <row r="67" spans="4:5" x14ac:dyDescent="0.25">
      <c r="D67" s="10"/>
      <c r="E67" s="10"/>
    </row>
    <row r="68" spans="4:5" x14ac:dyDescent="0.25">
      <c r="D68" s="10"/>
      <c r="E68" s="10"/>
    </row>
    <row r="69" spans="4:5" x14ac:dyDescent="0.25">
      <c r="D69" s="10"/>
      <c r="E69" s="10"/>
    </row>
    <row r="70" spans="4:5" x14ac:dyDescent="0.25">
      <c r="D70" s="10"/>
      <c r="E70" s="10"/>
    </row>
    <row r="71" spans="4:5" x14ac:dyDescent="0.25">
      <c r="D71" s="10"/>
      <c r="E71" s="10"/>
    </row>
    <row r="72" spans="4:5" x14ac:dyDescent="0.25">
      <c r="D72" s="10"/>
      <c r="E72" s="10"/>
    </row>
    <row r="73" spans="4:5" x14ac:dyDescent="0.25">
      <c r="D73" s="10"/>
      <c r="E73" s="10"/>
    </row>
    <row r="74" spans="4:5" x14ac:dyDescent="0.25">
      <c r="D74" s="10"/>
      <c r="E74" s="10"/>
    </row>
    <row r="75" spans="4:5" x14ac:dyDescent="0.25">
      <c r="D75" s="10"/>
      <c r="E75" s="10"/>
    </row>
    <row r="76" spans="4:5" x14ac:dyDescent="0.25">
      <c r="D76" s="10"/>
      <c r="E76" s="10"/>
    </row>
    <row r="77" spans="4:5" x14ac:dyDescent="0.25">
      <c r="D77" s="10"/>
      <c r="E77" s="10"/>
    </row>
    <row r="78" spans="4:5" x14ac:dyDescent="0.25">
      <c r="D78" s="10"/>
      <c r="E78" s="10"/>
    </row>
    <row r="79" spans="4:5" x14ac:dyDescent="0.25">
      <c r="D79" s="10"/>
      <c r="E79" s="10"/>
    </row>
    <row r="80" spans="4:5" x14ac:dyDescent="0.25">
      <c r="D80" s="10"/>
      <c r="E80" s="10"/>
    </row>
    <row r="81" spans="4:5" x14ac:dyDescent="0.25">
      <c r="D81" s="10"/>
      <c r="E81" s="10"/>
    </row>
    <row r="82" spans="4:5" x14ac:dyDescent="0.25">
      <c r="D82" s="10"/>
      <c r="E82" s="10"/>
    </row>
    <row r="83" spans="4:5" x14ac:dyDescent="0.25">
      <c r="D83" s="10"/>
      <c r="E83" s="10"/>
    </row>
    <row r="84" spans="4:5" x14ac:dyDescent="0.25">
      <c r="D84" s="10"/>
      <c r="E84" s="10"/>
    </row>
    <row r="85" spans="4:5" x14ac:dyDescent="0.25">
      <c r="D85" s="10"/>
      <c r="E85" s="10"/>
    </row>
    <row r="86" spans="4:5" x14ac:dyDescent="0.25">
      <c r="D86" s="10"/>
      <c r="E86" s="10"/>
    </row>
    <row r="87" spans="4:5" x14ac:dyDescent="0.25">
      <c r="D87" s="10"/>
      <c r="E87" s="10"/>
    </row>
    <row r="88" spans="4:5" x14ac:dyDescent="0.25">
      <c r="D88" s="10"/>
      <c r="E88" s="10"/>
    </row>
    <row r="89" spans="4:5" x14ac:dyDescent="0.25">
      <c r="D89" s="10"/>
      <c r="E89" s="10"/>
    </row>
    <row r="90" spans="4:5" x14ac:dyDescent="0.25">
      <c r="D90" s="10"/>
      <c r="E90" s="10"/>
    </row>
    <row r="91" spans="4:5" x14ac:dyDescent="0.25">
      <c r="D91" s="10"/>
      <c r="E91" s="10"/>
    </row>
    <row r="92" spans="4:5" x14ac:dyDescent="0.25">
      <c r="D92" s="10"/>
      <c r="E92" s="10"/>
    </row>
    <row r="93" spans="4:5" x14ac:dyDescent="0.25">
      <c r="D93" s="10"/>
      <c r="E93" s="10"/>
    </row>
    <row r="94" spans="4:5" x14ac:dyDescent="0.25">
      <c r="D94" s="10"/>
      <c r="E94" s="10"/>
    </row>
    <row r="95" spans="4:5" x14ac:dyDescent="0.25">
      <c r="D95" s="10"/>
      <c r="E95" s="10"/>
    </row>
    <row r="96" spans="4:5" x14ac:dyDescent="0.25">
      <c r="D96" s="10"/>
      <c r="E96" s="10"/>
    </row>
    <row r="97" spans="4:5" x14ac:dyDescent="0.25">
      <c r="D97" s="10"/>
      <c r="E97" s="10"/>
    </row>
    <row r="98" spans="4:5" x14ac:dyDescent="0.25">
      <c r="D98" s="10"/>
      <c r="E98" s="10"/>
    </row>
    <row r="99" spans="4:5" x14ac:dyDescent="0.25">
      <c r="D99" s="10"/>
      <c r="E99" s="10"/>
    </row>
    <row r="100" spans="4:5" x14ac:dyDescent="0.25">
      <c r="D100" s="10"/>
      <c r="E100" s="10"/>
    </row>
    <row r="101" spans="4:5" x14ac:dyDescent="0.25">
      <c r="D101" s="10"/>
      <c r="E101" s="10"/>
    </row>
    <row r="102" spans="4:5" x14ac:dyDescent="0.25">
      <c r="D102" s="10"/>
      <c r="E102" s="10"/>
    </row>
    <row r="103" spans="4:5" x14ac:dyDescent="0.25">
      <c r="D103" s="10"/>
      <c r="E103" s="10"/>
    </row>
    <row r="104" spans="4:5" x14ac:dyDescent="0.25">
      <c r="D104" s="10"/>
      <c r="E104" s="10"/>
    </row>
    <row r="105" spans="4:5" x14ac:dyDescent="0.25">
      <c r="D105" s="10"/>
      <c r="E105" s="10"/>
    </row>
  </sheetData>
  <sheetProtection autoFilter="0"/>
  <mergeCells count="6">
    <mergeCell ref="H12:J12"/>
    <mergeCell ref="D2:I4"/>
    <mergeCell ref="C5:F5"/>
    <mergeCell ref="I7:N8"/>
    <mergeCell ref="I9:N10"/>
    <mergeCell ref="I6:N6"/>
  </mergeCells>
  <conditionalFormatting sqref="D13:D112">
    <cfRule type="notContainsBlanks" dxfId="5" priority="11">
      <formula>LEN(TRIM(D13))&gt;0</formula>
    </cfRule>
  </conditionalFormatting>
  <conditionalFormatting sqref="E13:E112">
    <cfRule type="notContainsBlanks" dxfId="4" priority="6">
      <formula>LEN(TRIM(E13))&gt;0</formula>
    </cfRule>
  </conditionalFormatting>
  <conditionalFormatting sqref="H13:DC112">
    <cfRule type="notContainsBlanks" dxfId="3" priority="5">
      <formula>LEN(TRIM(H13))&gt;0</formula>
    </cfRule>
  </conditionalFormatting>
  <conditionalFormatting sqref="C5">
    <cfRule type="notContainsBlanks" dxfId="2" priority="4">
      <formula>LEN(TRIM(C5))&gt;0</formula>
    </cfRule>
  </conditionalFormatting>
  <conditionalFormatting sqref="C13:E112">
    <cfRule type="notContainsBlanks" dxfId="1" priority="3">
      <formula>LEN(TRIM(C13))&gt;0</formula>
    </cfRule>
    <cfRule type="notContainsBlanks" dxfId="0" priority="10">
      <formula>LEN(TRIM(C13))&gt;0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enario"/>
  <dimension ref="A1:J83"/>
  <sheetViews>
    <sheetView showGridLines="0" workbookViewId="0">
      <selection activeCell="B23" sqref="B23"/>
    </sheetView>
  </sheetViews>
  <sheetFormatPr defaultRowHeight="15" x14ac:dyDescent="0.25"/>
  <cols>
    <col min="1" max="1" width="45" bestFit="1" customWidth="1"/>
    <col min="2" max="8" width="12.7109375" style="24" customWidth="1"/>
    <col min="9" max="10" width="8.85546875" style="24"/>
  </cols>
  <sheetData>
    <row r="1" spans="1:9" x14ac:dyDescent="0.25">
      <c r="A1" s="7"/>
      <c r="B1" s="24" t="s">
        <v>9</v>
      </c>
      <c r="C1" s="24" t="s">
        <v>10</v>
      </c>
      <c r="D1" s="24" t="s">
        <v>11</v>
      </c>
      <c r="E1" s="24" t="s">
        <v>12</v>
      </c>
      <c r="F1" s="24" t="s">
        <v>13</v>
      </c>
      <c r="G1" s="24" t="s">
        <v>14</v>
      </c>
      <c r="H1" s="24" t="s">
        <v>15</v>
      </c>
      <c r="I1" s="24" t="s">
        <v>16</v>
      </c>
    </row>
    <row r="2" spans="1:9" x14ac:dyDescent="0.25">
      <c r="A2" t="s">
        <v>31</v>
      </c>
      <c r="B2" s="24">
        <v>2</v>
      </c>
      <c r="C2" s="24">
        <v>1</v>
      </c>
      <c r="D2" s="24">
        <v>0</v>
      </c>
      <c r="E2" s="24">
        <v>0</v>
      </c>
      <c r="F2" s="24">
        <v>0</v>
      </c>
      <c r="G2" s="24">
        <v>0</v>
      </c>
      <c r="H2" s="24">
        <v>0</v>
      </c>
    </row>
    <row r="3" spans="1:9" x14ac:dyDescent="0.25">
      <c r="A3" t="s">
        <v>32</v>
      </c>
      <c r="B3" s="24">
        <v>2</v>
      </c>
      <c r="C3" s="24">
        <v>0</v>
      </c>
      <c r="D3" s="24">
        <v>2</v>
      </c>
      <c r="E3" s="24">
        <v>0</v>
      </c>
      <c r="F3" s="24">
        <v>0</v>
      </c>
      <c r="G3" s="24">
        <v>0</v>
      </c>
      <c r="H3" s="24">
        <v>0</v>
      </c>
    </row>
    <row r="4" spans="1:9" x14ac:dyDescent="0.25">
      <c r="A4" t="s">
        <v>33</v>
      </c>
      <c r="B4" s="24">
        <v>2</v>
      </c>
      <c r="C4" s="24">
        <v>0</v>
      </c>
      <c r="D4" s="24">
        <v>0</v>
      </c>
      <c r="E4" s="24">
        <v>3</v>
      </c>
      <c r="F4" s="24">
        <v>0</v>
      </c>
      <c r="G4" s="24">
        <v>0</v>
      </c>
      <c r="H4" s="24">
        <v>0</v>
      </c>
    </row>
    <row r="5" spans="1:9" x14ac:dyDescent="0.25">
      <c r="A5" t="s">
        <v>34</v>
      </c>
      <c r="B5" s="24">
        <v>2</v>
      </c>
      <c r="C5" s="24">
        <v>0</v>
      </c>
      <c r="D5" s="24">
        <v>0</v>
      </c>
      <c r="E5" s="24">
        <v>0</v>
      </c>
      <c r="F5" s="24">
        <v>4</v>
      </c>
      <c r="G5" s="24">
        <v>0</v>
      </c>
      <c r="H5" s="24">
        <v>0</v>
      </c>
    </row>
    <row r="6" spans="1:9" x14ac:dyDescent="0.25">
      <c r="A6" t="s">
        <v>35</v>
      </c>
      <c r="B6" s="24">
        <v>2</v>
      </c>
      <c r="C6" s="24">
        <v>0</v>
      </c>
      <c r="D6" s="24">
        <v>0</v>
      </c>
      <c r="E6" s="24">
        <v>0</v>
      </c>
      <c r="F6" s="24">
        <v>0</v>
      </c>
      <c r="G6" s="24">
        <v>5</v>
      </c>
      <c r="H6" s="24">
        <v>0</v>
      </c>
    </row>
    <row r="7" spans="1:9" x14ac:dyDescent="0.25">
      <c r="A7" t="s">
        <v>47</v>
      </c>
      <c r="B7" s="24">
        <v>2</v>
      </c>
      <c r="C7" s="24">
        <v>0</v>
      </c>
      <c r="D7" s="24">
        <v>0</v>
      </c>
      <c r="E7" s="24">
        <v>0</v>
      </c>
      <c r="F7" s="24">
        <v>0</v>
      </c>
      <c r="G7" s="24">
        <v>0</v>
      </c>
      <c r="H7" s="24">
        <v>6</v>
      </c>
    </row>
    <row r="8" spans="1:9" x14ac:dyDescent="0.25">
      <c r="A8" t="s">
        <v>17</v>
      </c>
      <c r="B8" s="24" t="s">
        <v>18</v>
      </c>
      <c r="C8" s="24" t="s">
        <v>18</v>
      </c>
      <c r="D8" s="25" t="s">
        <v>18</v>
      </c>
      <c r="E8" s="24" t="s">
        <v>18</v>
      </c>
      <c r="F8" s="24" t="s">
        <v>18</v>
      </c>
      <c r="G8" s="24" t="s">
        <v>18</v>
      </c>
      <c r="H8" s="24" t="s">
        <v>18</v>
      </c>
    </row>
    <row r="9" spans="1:9" x14ac:dyDescent="0.25">
      <c r="A9" t="s">
        <v>19</v>
      </c>
      <c r="B9" s="24" t="s">
        <v>20</v>
      </c>
      <c r="C9" s="24" t="s">
        <v>21</v>
      </c>
      <c r="D9" s="24" t="s">
        <v>21</v>
      </c>
      <c r="E9" s="24" t="s">
        <v>21</v>
      </c>
      <c r="F9" s="24" t="s">
        <v>21</v>
      </c>
      <c r="G9" s="24" t="s">
        <v>21</v>
      </c>
      <c r="H9" s="24" t="s">
        <v>21</v>
      </c>
    </row>
    <row r="10" spans="1:9" x14ac:dyDescent="0.25">
      <c r="A10" t="s">
        <v>22</v>
      </c>
      <c r="B10" s="24">
        <v>-1</v>
      </c>
      <c r="C10" s="24" t="s">
        <v>9</v>
      </c>
      <c r="D10" s="24" t="s">
        <v>9</v>
      </c>
      <c r="E10" s="24" t="s">
        <v>9</v>
      </c>
      <c r="F10" s="24" t="s">
        <v>9</v>
      </c>
      <c r="G10" s="24" t="s">
        <v>9</v>
      </c>
      <c r="H10" s="24" t="s">
        <v>9</v>
      </c>
    </row>
    <row r="11" spans="1:9" x14ac:dyDescent="0.25">
      <c r="A11" t="s">
        <v>36</v>
      </c>
      <c r="B11" s="24">
        <v>45.933540000000001</v>
      </c>
      <c r="C11" s="24">
        <v>40.440829999999998</v>
      </c>
      <c r="D11" s="24">
        <v>35.007750000000001</v>
      </c>
      <c r="E11" s="24">
        <v>35.00009</v>
      </c>
      <c r="F11" s="24">
        <v>35</v>
      </c>
      <c r="G11" s="24">
        <v>35.00018</v>
      </c>
      <c r="H11" s="24">
        <v>35.130780000000001</v>
      </c>
    </row>
    <row r="12" spans="1:9" x14ac:dyDescent="0.25">
      <c r="A12" t="s">
        <v>44</v>
      </c>
      <c r="B12" s="24">
        <v>46.415570000000002</v>
      </c>
      <c r="C12" s="24">
        <v>35.069879999999998</v>
      </c>
      <c r="D12" s="24">
        <v>45.894559999999998</v>
      </c>
      <c r="E12" s="24">
        <v>35.008319999999998</v>
      </c>
      <c r="F12" s="24">
        <v>35.001350000000002</v>
      </c>
      <c r="G12" s="24">
        <v>35.274999999999999</v>
      </c>
      <c r="H12" s="24">
        <v>35.795119999999997</v>
      </c>
    </row>
    <row r="13" spans="1:9" x14ac:dyDescent="0.25">
      <c r="A13" t="s">
        <v>37</v>
      </c>
      <c r="B13" s="24">
        <v>47.97636</v>
      </c>
      <c r="C13" s="24">
        <v>35.29889</v>
      </c>
      <c r="D13" s="24">
        <v>35.248190000000001</v>
      </c>
      <c r="E13" s="24">
        <v>51.283830000000002</v>
      </c>
      <c r="F13" s="24">
        <v>35.142479999999999</v>
      </c>
      <c r="G13" s="24">
        <v>35.502189999999999</v>
      </c>
      <c r="H13" s="24">
        <v>38.003160000000001</v>
      </c>
    </row>
    <row r="14" spans="1:9" x14ac:dyDescent="0.25">
      <c r="A14" t="s">
        <v>38</v>
      </c>
      <c r="B14" s="24">
        <v>48.370429999999999</v>
      </c>
      <c r="C14" s="24">
        <v>35.049399999999999</v>
      </c>
      <c r="D14" s="24">
        <v>35.726669999999999</v>
      </c>
      <c r="E14" s="24">
        <v>35.392899999999997</v>
      </c>
      <c r="F14" s="24">
        <v>57.080480000000001</v>
      </c>
      <c r="G14" s="24">
        <v>37.791139999999999</v>
      </c>
      <c r="H14" s="24">
        <v>35.380600000000001</v>
      </c>
    </row>
    <row r="15" spans="1:9" x14ac:dyDescent="0.25">
      <c r="A15" t="s">
        <v>39</v>
      </c>
      <c r="B15" s="24">
        <v>47.71781</v>
      </c>
      <c r="C15" s="24">
        <v>35.037730000000003</v>
      </c>
      <c r="D15" s="24">
        <v>36.113149999999997</v>
      </c>
      <c r="E15" s="24">
        <v>35.153550000000003</v>
      </c>
      <c r="F15" s="24">
        <v>35.144390000000001</v>
      </c>
      <c r="G15" s="24">
        <v>63.097909999999999</v>
      </c>
      <c r="H15" s="24">
        <v>35.348579999999998</v>
      </c>
    </row>
    <row r="16" spans="1:9" x14ac:dyDescent="0.25">
      <c r="A16" t="s">
        <v>48</v>
      </c>
      <c r="B16" s="24">
        <v>47.219909999999999</v>
      </c>
      <c r="C16" s="24">
        <v>35.525599999999997</v>
      </c>
      <c r="D16" s="24">
        <v>35.234099999999998</v>
      </c>
      <c r="E16" s="24">
        <v>35.029690000000002</v>
      </c>
      <c r="F16" s="24">
        <v>35.000430000000001</v>
      </c>
      <c r="G16" s="24">
        <v>35.02223</v>
      </c>
      <c r="H16" s="24">
        <v>67.718130000000002</v>
      </c>
    </row>
    <row r="21" spans="4:4" x14ac:dyDescent="0.25">
      <c r="D21" s="25"/>
    </row>
    <row r="34" spans="4:4" x14ac:dyDescent="0.25">
      <c r="D34" s="25"/>
    </row>
    <row r="47" spans="4:4" x14ac:dyDescent="0.25">
      <c r="D47" s="25"/>
    </row>
    <row r="63" spans="6:6" x14ac:dyDescent="0.25">
      <c r="F63" s="25"/>
    </row>
    <row r="64" spans="6:6" x14ac:dyDescent="0.25">
      <c r="F64" s="25"/>
    </row>
    <row r="65" spans="4:6" x14ac:dyDescent="0.25">
      <c r="F65" s="25"/>
    </row>
    <row r="78" spans="4:6" x14ac:dyDescent="0.25">
      <c r="D78" s="25"/>
    </row>
    <row r="81" spans="6:6" x14ac:dyDescent="0.25">
      <c r="F81" s="25"/>
    </row>
    <row r="82" spans="6:6" x14ac:dyDescent="0.25">
      <c r="F82" s="25"/>
    </row>
    <row r="83" spans="6:6" x14ac:dyDescent="0.25">
      <c r="F83" s="25"/>
    </row>
  </sheetData>
  <sheetProtection autoFilter="0"/>
  <dataConsolidate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M29"/>
  <sheetViews>
    <sheetView showGridLines="0" workbookViewId="0">
      <selection activeCell="M11" sqref="M11"/>
    </sheetView>
  </sheetViews>
  <sheetFormatPr defaultRowHeight="15" x14ac:dyDescent="0.25"/>
  <sheetData>
    <row r="2" spans="2:13" x14ac:dyDescent="0.25">
      <c r="B2" t="s">
        <v>46</v>
      </c>
    </row>
    <row r="3" spans="2:13" x14ac:dyDescent="0.25">
      <c r="B3" t="s">
        <v>6</v>
      </c>
      <c r="F3" s="6" t="s">
        <v>7</v>
      </c>
    </row>
    <row r="4" spans="2:13" x14ac:dyDescent="0.25">
      <c r="B4" t="s">
        <v>8</v>
      </c>
    </row>
    <row r="5" spans="2:13" x14ac:dyDescent="0.25">
      <c r="B5" t="s">
        <v>23</v>
      </c>
    </row>
    <row r="7" spans="2:13" x14ac:dyDescent="0.25">
      <c r="B7" s="3" t="s">
        <v>51</v>
      </c>
    </row>
    <row r="8" spans="2:13" x14ac:dyDescent="0.25">
      <c r="B8" t="s">
        <v>52</v>
      </c>
    </row>
    <row r="9" spans="2:13" x14ac:dyDescent="0.25">
      <c r="B9" t="s">
        <v>53</v>
      </c>
    </row>
    <row r="10" spans="2:13" x14ac:dyDescent="0.25">
      <c r="M10" t="s">
        <v>55</v>
      </c>
    </row>
    <row r="29" spans="5:5" x14ac:dyDescent="0.25">
      <c r="E29" t="s">
        <v>54</v>
      </c>
    </row>
  </sheetData>
  <hyperlinks>
    <hyperlink ref="F3" r:id="rId1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Output</vt:lpstr>
      <vt:lpstr>Scenario Table</vt:lpstr>
      <vt:lpstr>Help &amp; Advice</vt:lpstr>
      <vt:lpstr>rNote</vt:lpstr>
      <vt:lpstr>SuperPosInStrt</vt:lpstr>
      <vt:lpstr>Tamb</vt:lpstr>
      <vt:lpstr>TMonStrt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Wilson, John (Santa Clara)</dc:creator>
  <cp:lastModifiedBy>Blackmore, Byron</cp:lastModifiedBy>
  <dcterms:created xsi:type="dcterms:W3CDTF">2014-10-24T16:43:17Z</dcterms:created>
  <dcterms:modified xsi:type="dcterms:W3CDTF">2017-05-08T17:27:09Z</dcterms:modified>
</cp:coreProperties>
</file>